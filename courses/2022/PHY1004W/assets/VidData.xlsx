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cristaudo/Desktop/"/>
    </mc:Choice>
  </mc:AlternateContent>
  <xr:revisionPtr revIDLastSave="0" documentId="13_ncr:1_{39624921-7855-1841-8EEC-1918E2077658}" xr6:coauthVersionLast="47" xr6:coauthVersionMax="47" xr10:uidLastSave="{00000000-0000-0000-0000-000000000000}"/>
  <bookViews>
    <workbookView xWindow="4280" yWindow="700" windowWidth="28040" windowHeight="16100" xr2:uid="{A9903ECD-05C2-0A41-8FDD-F17C9CC4EF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X383" i="1" l="1" a="1"/>
  <c r="X383" i="1" s="1"/>
  <c r="AA122" i="1" a="1"/>
  <c r="AA122" i="1" s="1"/>
  <c r="S132" i="1" a="1"/>
  <c r="S132" i="1" s="1"/>
  <c r="J488" i="1"/>
  <c r="J489" i="1" s="1"/>
  <c r="J487" i="1"/>
  <c r="I481" i="1"/>
  <c r="I482" i="1" s="1"/>
  <c r="I483" i="1"/>
  <c r="S487" i="1" a="1"/>
  <c r="S487" i="1" s="1"/>
  <c r="S500" i="1" a="1"/>
  <c r="S500" i="1" s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<sst xmlns="http://schemas.openxmlformats.org/spreadsheetml/2006/main" count="125" uniqueCount="72">
  <si>
    <t>t</t>
  </si>
  <si>
    <t>v_{y}</t>
  </si>
  <si>
    <t>tennis_ball</t>
  </si>
  <si>
    <t>mass_A</t>
  </si>
  <si>
    <t>0.000</t>
  </si>
  <si>
    <t>3.333E-2</t>
  </si>
  <si>
    <t>6.667E-2</t>
  </si>
  <si>
    <t>0.100</t>
  </si>
  <si>
    <t>0.133</t>
  </si>
  <si>
    <t>0.167</t>
  </si>
  <si>
    <t>0.200</t>
  </si>
  <si>
    <t>0.233</t>
  </si>
  <si>
    <t>0.267</t>
  </si>
  <si>
    <t>0.300</t>
  </si>
  <si>
    <t>0.333</t>
  </si>
  <si>
    <t>0.367</t>
  </si>
  <si>
    <t>0.400</t>
  </si>
  <si>
    <t>0.433</t>
  </si>
  <si>
    <t>0.467</t>
  </si>
  <si>
    <t>0.500</t>
  </si>
  <si>
    <t>0.533</t>
  </si>
  <si>
    <t>0.567</t>
  </si>
  <si>
    <t>0.600</t>
  </si>
  <si>
    <t>0.633</t>
  </si>
  <si>
    <t>0.667</t>
  </si>
  <si>
    <t>-1.529</t>
  </si>
  <si>
    <t>-1.877</t>
  </si>
  <si>
    <t>-2.164</t>
  </si>
  <si>
    <t>-2.543</t>
  </si>
  <si>
    <t>-2.906</t>
  </si>
  <si>
    <t>-3.269</t>
  </si>
  <si>
    <t>-3.663</t>
  </si>
  <si>
    <t>-4.056</t>
  </si>
  <si>
    <t>-4.298</t>
  </si>
  <si>
    <t>-4.609</t>
  </si>
  <si>
    <t>-4.904</t>
  </si>
  <si>
    <t>-5.206</t>
  </si>
  <si>
    <t>-5.509</t>
  </si>
  <si>
    <t>-5.766</t>
  </si>
  <si>
    <t>-6.084</t>
  </si>
  <si>
    <t>-6.334</t>
  </si>
  <si>
    <t>-6.705</t>
  </si>
  <si>
    <t>-7.045</t>
  </si>
  <si>
    <t>soccer_ball</t>
  </si>
  <si>
    <t>-1.835</t>
  </si>
  <si>
    <t>-1.160</t>
  </si>
  <si>
    <t>-1.496</t>
  </si>
  <si>
    <t>-2.197</t>
  </si>
  <si>
    <t>-2.557</t>
  </si>
  <si>
    <t>-2.898</t>
  </si>
  <si>
    <t>-3.279</t>
  </si>
  <si>
    <t>-3.622</t>
  </si>
  <si>
    <t>-3.999</t>
  </si>
  <si>
    <t>-4.321</t>
  </si>
  <si>
    <t>-4.592</t>
  </si>
  <si>
    <t>-4.916</t>
  </si>
  <si>
    <t>-5.187</t>
  </si>
  <si>
    <t>-5.506</t>
  </si>
  <si>
    <t>-6.010</t>
  </si>
  <si>
    <t>-6.657</t>
  </si>
  <si>
    <t>-7.255</t>
  </si>
  <si>
    <t>-5.752</t>
  </si>
  <si>
    <t>-6.328</t>
  </si>
  <si>
    <t>-6.992</t>
  </si>
  <si>
    <t>bottle_A</t>
  </si>
  <si>
    <t>bottle_B</t>
  </si>
  <si>
    <t>bucket</t>
  </si>
  <si>
    <t>bucket_C</t>
  </si>
  <si>
    <r>
      <t>𝑠</t>
    </r>
    <r>
      <rPr>
        <sz val="18"/>
        <color rgb="FF232629"/>
        <rFont val="STIXGeneral-Regular"/>
      </rPr>
      <t>(</t>
    </r>
    <r>
      <rPr>
        <sz val="18"/>
        <color rgb="FF232629"/>
        <rFont val="STIXGeneral-Italic"/>
      </rPr>
      <t>𝑏</t>
    </r>
    <r>
      <rPr>
        <sz val="13"/>
        <color rgb="FF232629"/>
        <rFont val="STIXGeneral-Regular"/>
      </rPr>
      <t>1</t>
    </r>
    <r>
      <rPr>
        <sz val="18"/>
        <color rgb="FF232629"/>
        <rFont val="STIXGeneral-Regular"/>
      </rPr>
      <t>)=1</t>
    </r>
    <r>
      <rPr>
        <sz val="18"/>
        <color rgb="FF232629"/>
        <rFont val="STIXGeneral-Italic"/>
      </rPr>
      <t>𝑛</t>
    </r>
    <r>
      <rPr>
        <sz val="18"/>
        <color rgb="FF232629"/>
        <rFont val="STIXGeneral-Regular"/>
      </rPr>
      <t>−2·∑(</t>
    </r>
    <r>
      <rPr>
        <sz val="18"/>
        <color rgb="FF232629"/>
        <rFont val="STIXGeneral-Italic"/>
      </rPr>
      <t>𝑦</t>
    </r>
    <r>
      <rPr>
        <sz val="13"/>
        <color rgb="FF232629"/>
        <rFont val="STIXGeneral-Italic"/>
      </rPr>
      <t>𝑖</t>
    </r>
    <r>
      <rPr>
        <sz val="18"/>
        <color rgb="FF232629"/>
        <rFont val="STIXGeneral-Regular"/>
      </rPr>
      <t>−</t>
    </r>
    <r>
      <rPr>
        <sz val="18"/>
        <color rgb="FF232629"/>
        <rFont val="STIXGeneral-Italic"/>
      </rPr>
      <t>𝑦</t>
    </r>
    <r>
      <rPr>
        <sz val="18"/>
        <color rgb="FF232629"/>
        <rFont val="STIXGeneral-Regular"/>
      </rPr>
      <t>̂ </t>
    </r>
    <r>
      <rPr>
        <sz val="13"/>
        <color rgb="FF232629"/>
        <rFont val="STIXGeneral-Italic"/>
      </rPr>
      <t>𝑖</t>
    </r>
    <r>
      <rPr>
        <sz val="18"/>
        <color rgb="FF232629"/>
        <rFont val="STIXGeneral-Regular"/>
      </rPr>
      <t>)</t>
    </r>
    <r>
      <rPr>
        <sz val="13"/>
        <color rgb="FF232629"/>
        <rFont val="STIXGeneral-Regular"/>
      </rPr>
      <t>2</t>
    </r>
    <r>
      <rPr>
        <sz val="18"/>
        <color rgb="FF232629"/>
        <rFont val="STIXGeneral-Regular"/>
      </rPr>
      <t>∑(</t>
    </r>
    <r>
      <rPr>
        <sz val="18"/>
        <color rgb="FF232629"/>
        <rFont val="STIXGeneral-Italic"/>
      </rPr>
      <t>𝑥</t>
    </r>
    <r>
      <rPr>
        <sz val="13"/>
        <color rgb="FF232629"/>
        <rFont val="STIXGeneral-Italic"/>
      </rPr>
      <t>𝑖</t>
    </r>
    <r>
      <rPr>
        <sz val="18"/>
        <color rgb="FF232629"/>
        <rFont val="STIXGeneral-Regular"/>
      </rPr>
      <t>−</t>
    </r>
    <r>
      <rPr>
        <sz val="18"/>
        <color rgb="FF232629"/>
        <rFont val="STIXGeneral-Italic"/>
      </rPr>
      <t>𝑥</t>
    </r>
    <r>
      <rPr>
        <sz val="18"/>
        <color rgb="FF232629"/>
        <rFont val="STIXGeneral-Regular"/>
      </rPr>
      <t>¯)</t>
    </r>
    <r>
      <rPr>
        <sz val="13"/>
        <color rgb="FF232629"/>
        <rFont val="STIXGeneral-Regular"/>
      </rPr>
      <t>2</t>
    </r>
    <r>
      <rPr>
        <sz val="18"/>
        <color rgb="FF232629"/>
        <rFont val="STIXGeneral-Regular"/>
      </rPr>
      <t>‾‾‾‾‾‾‾‾‾‾‾‾‾‾‾‾‾‾‾‾</t>
    </r>
    <r>
      <rPr>
        <sz val="18"/>
        <color rgb="FF232629"/>
        <rFont val="STIXSizeThreeSym"/>
      </rPr>
      <t>√</t>
    </r>
  </si>
  <si>
    <t>meanY</t>
  </si>
  <si>
    <t>meanX</t>
  </si>
  <si>
    <t>unnamed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</si>
</sst>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8"/>
      <color rgb="FF232629"/>
      <name val="STIXGeneral-Italic"/>
    </font>
    <font>
      <sz val="18"/>
      <color rgb="FF232629"/>
      <name val="STIXGeneral-Regular"/>
    </font>
    <font>
      <sz val="13"/>
      <color rgb="FF232629"/>
      <name val="STIXGeneral-Regular"/>
    </font>
    <font>
      <sz val="13"/>
      <color rgb="FF232629"/>
      <name val="STIXGeneral-Italic"/>
    </font>
    <font>
      <sz val="18"/>
      <color rgb="FF232629"/>
      <name val="STIXSizeThreeSy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11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2817869641294838"/>
                  <c:y val="2.651684164479440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Sheet1!$A$9:$A$26</c:f>
              <c:numCache>
                <c:formatCode>0.00E+00</c:formatCode>
                <c:ptCount val="18"/>
                <c:pt idx="0">
                  <c:v>3.3329999999999999E-2</c:v>
                </c:pt>
                <c:pt idx="1">
                  <c:v>6.6669999999999993E-2</c:v>
                </c:pt>
                <c:pt idx="2" formatCode="General">
                  <c:v>0.1</c:v>
                </c:pt>
                <c:pt idx="3" formatCode="General">
                  <c:v>0.13300000000000001</c:v>
                </c:pt>
                <c:pt idx="4" formatCode="General">
                  <c:v>0.16700000000000001</c:v>
                </c:pt>
                <c:pt idx="5" formatCode="General">
                  <c:v>0.2</c:v>
                </c:pt>
                <c:pt idx="6" formatCode="General">
                  <c:v>0.23300000000000001</c:v>
                </c:pt>
                <c:pt idx="7" formatCode="General">
                  <c:v>0.26700000000000002</c:v>
                </c:pt>
                <c:pt idx="8" formatCode="General">
                  <c:v>0.3</c:v>
                </c:pt>
                <c:pt idx="9" formatCode="General">
                  <c:v>0.33300000000000002</c:v>
                </c:pt>
                <c:pt idx="10" formatCode="General">
                  <c:v>0.36699999999999999</c:v>
                </c:pt>
                <c:pt idx="11" formatCode="General">
                  <c:v>0.4</c:v>
                </c:pt>
                <c:pt idx="12" formatCode="General">
                  <c:v>0.433</c:v>
                </c:pt>
                <c:pt idx="13" formatCode="General">
                  <c:v>0.46700000000000003</c:v>
                </c:pt>
                <c:pt idx="14" formatCode="General">
                  <c:v>0.5</c:v>
                </c:pt>
                <c:pt idx="15" formatCode="General">
                  <c:v>0.53300000000000003</c:v>
                </c:pt>
                <c:pt idx="16" formatCode="General">
                  <c:v>0.56699999999999995</c:v>
                </c:pt>
                <c:pt idx="17" formatCode="General">
                  <c:v>0.6</c:v>
                </c:pt>
              </c:numCache>
            </c:numRef>
          </c:xVal>
          <c:yVal>
            <c:numRef>
              <c:f>Sheet1!$B$9:$B$26</c:f>
              <c:numCache>
                <c:formatCode>General</c:formatCode>
                <c:ptCount val="18"/>
                <c:pt idx="0">
                  <c:v>-1.4450000000000001</c:v>
                </c:pt>
                <c:pt idx="1">
                  <c:v>-1.758</c:v>
                </c:pt>
                <c:pt idx="2">
                  <c:v>-2.21</c:v>
                </c:pt>
                <c:pt idx="3">
                  <c:v>-2.6030000000000002</c:v>
                </c:pt>
                <c:pt idx="4">
                  <c:v>-2.9969999999999999</c:v>
                </c:pt>
                <c:pt idx="5">
                  <c:v>-3.2989999999999999</c:v>
                </c:pt>
                <c:pt idx="6">
                  <c:v>-3.5720000000000001</c:v>
                </c:pt>
                <c:pt idx="7">
                  <c:v>-3.988</c:v>
                </c:pt>
                <c:pt idx="8">
                  <c:v>-4.2910000000000004</c:v>
                </c:pt>
                <c:pt idx="9">
                  <c:v>-4.5860000000000003</c:v>
                </c:pt>
                <c:pt idx="10">
                  <c:v>-4.8959999999999999</c:v>
                </c:pt>
                <c:pt idx="11">
                  <c:v>-5.1689999999999996</c:v>
                </c:pt>
                <c:pt idx="12">
                  <c:v>-5.5090000000000003</c:v>
                </c:pt>
                <c:pt idx="13">
                  <c:v>-5.7510000000000003</c:v>
                </c:pt>
                <c:pt idx="14">
                  <c:v>-6.0919999999999996</c:v>
                </c:pt>
                <c:pt idx="15">
                  <c:v>-6.3869999999999996</c:v>
                </c:pt>
                <c:pt idx="16">
                  <c:v>-6.7729999999999997</c:v>
                </c:pt>
                <c:pt idx="17">
                  <c:v>-7.0449999999999999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8A-2B4F-826A-0C26C4A46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564752"/>
        <c:axId val="589566400"/>
      </c:scatterChart>
      <c:valAx>
        <c:axId val="589564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566400"/>
        <c:crosses val="autoZero"/>
        <c:crossBetween val="midCat"/>
      </c:valAx>
      <c:valAx>
        <c:axId val="58956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564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2644510061242346"/>
                  <c:y val="-0.1365347039953339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Sheet1!$T$39:$T$57</c:f>
              <c:numCache>
                <c:formatCode>0.00E+00</c:formatCode>
                <c:ptCount val="19"/>
                <c:pt idx="0">
                  <c:v>3.3329999999999999E-2</c:v>
                </c:pt>
                <c:pt idx="1">
                  <c:v>6.6669999999999993E-2</c:v>
                </c:pt>
                <c:pt idx="2" formatCode="General">
                  <c:v>0.1</c:v>
                </c:pt>
                <c:pt idx="3" formatCode="General">
                  <c:v>0.13300000000000001</c:v>
                </c:pt>
                <c:pt idx="4" formatCode="General">
                  <c:v>0.16700000000000001</c:v>
                </c:pt>
                <c:pt idx="5" formatCode="General">
                  <c:v>0.2</c:v>
                </c:pt>
                <c:pt idx="6" formatCode="General">
                  <c:v>0.23300000000000001</c:v>
                </c:pt>
                <c:pt idx="7" formatCode="General">
                  <c:v>0.26700000000000002</c:v>
                </c:pt>
                <c:pt idx="8" formatCode="General">
                  <c:v>0.3</c:v>
                </c:pt>
                <c:pt idx="9" formatCode="General">
                  <c:v>0.33300000000000002</c:v>
                </c:pt>
                <c:pt idx="10" formatCode="General">
                  <c:v>0.36699999999999999</c:v>
                </c:pt>
                <c:pt idx="11" formatCode="General">
                  <c:v>0.4</c:v>
                </c:pt>
                <c:pt idx="12" formatCode="General">
                  <c:v>0.433</c:v>
                </c:pt>
                <c:pt idx="13" formatCode="General">
                  <c:v>0.46700000000000003</c:v>
                </c:pt>
                <c:pt idx="14" formatCode="General">
                  <c:v>0.5</c:v>
                </c:pt>
                <c:pt idx="15" formatCode="General">
                  <c:v>0.53300000000000003</c:v>
                </c:pt>
                <c:pt idx="16" formatCode="General">
                  <c:v>0.56699999999999995</c:v>
                </c:pt>
                <c:pt idx="17" formatCode="General">
                  <c:v>0.6</c:v>
                </c:pt>
                <c:pt idx="18" formatCode="General">
                  <c:v>0.63300000000000001</c:v>
                </c:pt>
              </c:numCache>
            </c:numRef>
          </c:xVal>
          <c:yVal>
            <c:numRef>
              <c:f>Sheet1!$U$39:$U$57</c:f>
              <c:numCache>
                <c:formatCode>General</c:formatCode>
                <c:ptCount val="19"/>
                <c:pt idx="0">
                  <c:v>-1.151</c:v>
                </c:pt>
                <c:pt idx="1">
                  <c:v>-1.4630000000000001</c:v>
                </c:pt>
                <c:pt idx="2">
                  <c:v>-1.833</c:v>
                </c:pt>
                <c:pt idx="3">
                  <c:v>-2.206</c:v>
                </c:pt>
                <c:pt idx="4">
                  <c:v>-2.5550000000000002</c:v>
                </c:pt>
                <c:pt idx="5">
                  <c:v>-2.95</c:v>
                </c:pt>
                <c:pt idx="6">
                  <c:v>-3.2749999999999999</c:v>
                </c:pt>
                <c:pt idx="7">
                  <c:v>-3.629</c:v>
                </c:pt>
                <c:pt idx="8">
                  <c:v>-3.9129999999999998</c:v>
                </c:pt>
                <c:pt idx="9">
                  <c:v>-4.319</c:v>
                </c:pt>
                <c:pt idx="10">
                  <c:v>-4.6660000000000004</c:v>
                </c:pt>
                <c:pt idx="11">
                  <c:v>-4.9180000000000001</c:v>
                </c:pt>
                <c:pt idx="12">
                  <c:v>-5.3079999999999998</c:v>
                </c:pt>
                <c:pt idx="13">
                  <c:v>-5.6239999999999997</c:v>
                </c:pt>
                <c:pt idx="14">
                  <c:v>-5.9710000000000001</c:v>
                </c:pt>
                <c:pt idx="15">
                  <c:v>-6.3390000000000004</c:v>
                </c:pt>
                <c:pt idx="16">
                  <c:v>-6.7290000000000001</c:v>
                </c:pt>
                <c:pt idx="17">
                  <c:v>-7.0739999999999998</c:v>
                </c:pt>
                <c:pt idx="18">
                  <c:v>-7.4379999999999997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1D-644E-9851-5DA52E465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153520"/>
        <c:axId val="432155168"/>
      </c:scatterChart>
      <c:valAx>
        <c:axId val="432153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155168"/>
        <c:crosses val="autoZero"/>
        <c:crossBetween val="midCat"/>
      </c:valAx>
      <c:valAx>
        <c:axId val="43215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153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u="sng"/>
              <a:t>Veloctiy (m/s) against</a:t>
            </a:r>
            <a:r>
              <a:rPr lang="en-GB" u="sng" baseline="0"/>
              <a:t> time elapsed (s) for a sqaush ball falling in the earths gravitational field</a:t>
            </a:r>
            <a:endParaRPr lang="en-GB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9.4474628171478559E-2"/>
                  <c:y val="-3.328958880139982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Sheet1!$L$53:$L$72</c:f>
              <c:numCache>
                <c:formatCode>0.00E+00</c:formatCode>
                <c:ptCount val="20"/>
                <c:pt idx="0">
                  <c:v>3.3329999999999999E-2</c:v>
                </c:pt>
                <c:pt idx="1">
                  <c:v>6.6669999999999993E-2</c:v>
                </c:pt>
                <c:pt idx="2" formatCode="General">
                  <c:v>0.1</c:v>
                </c:pt>
                <c:pt idx="3" formatCode="General">
                  <c:v>0.13300000000000001</c:v>
                </c:pt>
                <c:pt idx="4" formatCode="General">
                  <c:v>0.16700000000000001</c:v>
                </c:pt>
                <c:pt idx="5" formatCode="General">
                  <c:v>0.2</c:v>
                </c:pt>
                <c:pt idx="6" formatCode="General">
                  <c:v>0.23300000000000001</c:v>
                </c:pt>
                <c:pt idx="7" formatCode="General">
                  <c:v>0.26700000000000002</c:v>
                </c:pt>
                <c:pt idx="8" formatCode="General">
                  <c:v>0.3</c:v>
                </c:pt>
                <c:pt idx="9" formatCode="General">
                  <c:v>0.33300000000000002</c:v>
                </c:pt>
                <c:pt idx="10" formatCode="General">
                  <c:v>0.36699999999999999</c:v>
                </c:pt>
                <c:pt idx="11" formatCode="General">
                  <c:v>0.4</c:v>
                </c:pt>
                <c:pt idx="12" formatCode="General">
                  <c:v>0.433</c:v>
                </c:pt>
                <c:pt idx="13" formatCode="General">
                  <c:v>0.46700000000000003</c:v>
                </c:pt>
                <c:pt idx="14" formatCode="General">
                  <c:v>0.5</c:v>
                </c:pt>
                <c:pt idx="15" formatCode="General">
                  <c:v>0.53300000000000003</c:v>
                </c:pt>
                <c:pt idx="16" formatCode="General">
                  <c:v>0.56699999999999995</c:v>
                </c:pt>
                <c:pt idx="17" formatCode="General">
                  <c:v>0.6</c:v>
                </c:pt>
                <c:pt idx="18" formatCode="General">
                  <c:v>0.63300000000000001</c:v>
                </c:pt>
                <c:pt idx="19" formatCode="General">
                  <c:v>0.66700000000000004</c:v>
                </c:pt>
              </c:numCache>
            </c:numRef>
          </c:xVal>
          <c:yVal>
            <c:numRef>
              <c:f>Sheet1!$M$53:$M$72</c:f>
              <c:numCache>
                <c:formatCode>General</c:formatCode>
                <c:ptCount val="20"/>
                <c:pt idx="0">
                  <c:v>-1.1379999999999999</c:v>
                </c:pt>
                <c:pt idx="1">
                  <c:v>-1.474</c:v>
                </c:pt>
                <c:pt idx="2">
                  <c:v>-1.8460000000000001</c:v>
                </c:pt>
                <c:pt idx="3">
                  <c:v>-2.218</c:v>
                </c:pt>
                <c:pt idx="4">
                  <c:v>-2.5720000000000001</c:v>
                </c:pt>
                <c:pt idx="5">
                  <c:v>-2.9609999999999999</c:v>
                </c:pt>
                <c:pt idx="6">
                  <c:v>-3.2749999999999999</c:v>
                </c:pt>
                <c:pt idx="7">
                  <c:v>-3.5920000000000001</c:v>
                </c:pt>
                <c:pt idx="8">
                  <c:v>-3.976</c:v>
                </c:pt>
                <c:pt idx="9">
                  <c:v>-4.3049999999999997</c:v>
                </c:pt>
                <c:pt idx="10">
                  <c:v>-4.6340000000000003</c:v>
                </c:pt>
                <c:pt idx="11">
                  <c:v>-4.9690000000000003</c:v>
                </c:pt>
                <c:pt idx="12">
                  <c:v>-5.2770000000000001</c:v>
                </c:pt>
                <c:pt idx="13">
                  <c:v>-5.609</c:v>
                </c:pt>
                <c:pt idx="14">
                  <c:v>-5.9710000000000001</c:v>
                </c:pt>
                <c:pt idx="15">
                  <c:v>-6.3520000000000003</c:v>
                </c:pt>
                <c:pt idx="16">
                  <c:v>-6.7290000000000001</c:v>
                </c:pt>
                <c:pt idx="17">
                  <c:v>-7.0759999999999996</c:v>
                </c:pt>
                <c:pt idx="18">
                  <c:v>-7.4379999999999997</c:v>
                </c:pt>
                <c:pt idx="19">
                  <c:v>-7.7430000000000003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74-6543-AF3D-FA325F63A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3249584"/>
        <c:axId val="433251232"/>
      </c:scatterChart>
      <c:valAx>
        <c:axId val="433249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elapsed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251232"/>
        <c:crosses val="autoZero"/>
        <c:crossBetween val="midCat"/>
      </c:valAx>
      <c:valAx>
        <c:axId val="43325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Velocity</a:t>
                </a:r>
                <a:r>
                  <a:rPr lang="en-GB" baseline="0"/>
                  <a:t> (m/s)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249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u="sng"/>
              <a:t>Velocity (m/s) against time elapsed</a:t>
            </a:r>
            <a:r>
              <a:rPr lang="en-GB" u="sng" baseline="0"/>
              <a:t> (s) for a tennis ball falling in earths gravitational field</a:t>
            </a:r>
            <a:endParaRPr lang="en-GB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Sheet1!$P$118:$P$135</c:f>
              <c:numCache>
                <c:formatCode>0.00E+00</c:formatCode>
                <c:ptCount val="18"/>
                <c:pt idx="0">
                  <c:v>3.3329999999999999E-2</c:v>
                </c:pt>
                <c:pt idx="1">
                  <c:v>6.6669999999999993E-2</c:v>
                </c:pt>
                <c:pt idx="2" formatCode="General">
                  <c:v>0.1</c:v>
                </c:pt>
                <c:pt idx="3" formatCode="General">
                  <c:v>0.13300000000000001</c:v>
                </c:pt>
                <c:pt idx="4" formatCode="General">
                  <c:v>0.16700000000000001</c:v>
                </c:pt>
                <c:pt idx="5" formatCode="General">
                  <c:v>0.2</c:v>
                </c:pt>
                <c:pt idx="6" formatCode="General">
                  <c:v>0.23300000000000001</c:v>
                </c:pt>
                <c:pt idx="7" formatCode="General">
                  <c:v>0.26700000000000002</c:v>
                </c:pt>
                <c:pt idx="8" formatCode="General">
                  <c:v>0.3</c:v>
                </c:pt>
                <c:pt idx="9" formatCode="General">
                  <c:v>0.33300000000000002</c:v>
                </c:pt>
                <c:pt idx="10" formatCode="General">
                  <c:v>0.36699999999999999</c:v>
                </c:pt>
                <c:pt idx="11" formatCode="General">
                  <c:v>0.4</c:v>
                </c:pt>
                <c:pt idx="12" formatCode="General">
                  <c:v>0.433</c:v>
                </c:pt>
                <c:pt idx="13" formatCode="General">
                  <c:v>0.46700000000000003</c:v>
                </c:pt>
                <c:pt idx="14" formatCode="General">
                  <c:v>0.5</c:v>
                </c:pt>
                <c:pt idx="15" formatCode="General">
                  <c:v>0.53300000000000003</c:v>
                </c:pt>
                <c:pt idx="16" formatCode="General">
                  <c:v>0.56699999999999995</c:v>
                </c:pt>
                <c:pt idx="17" formatCode="General">
                  <c:v>0.6</c:v>
                </c:pt>
              </c:numCache>
            </c:numRef>
          </c:xVal>
          <c:yVal>
            <c:numRef>
              <c:f>Sheet1!$Q$118:$Q$135</c:f>
              <c:numCache>
                <c:formatCode>General</c:formatCode>
                <c:ptCount val="18"/>
                <c:pt idx="0">
                  <c:v>-1.5289999999999999</c:v>
                </c:pt>
                <c:pt idx="1">
                  <c:v>-1.877</c:v>
                </c:pt>
                <c:pt idx="2">
                  <c:v>-2.1640000000000001</c:v>
                </c:pt>
                <c:pt idx="3">
                  <c:v>-2.5430000000000001</c:v>
                </c:pt>
                <c:pt idx="4">
                  <c:v>-2.9060000000000001</c:v>
                </c:pt>
                <c:pt idx="5">
                  <c:v>-3.2690000000000001</c:v>
                </c:pt>
                <c:pt idx="6">
                  <c:v>-3.6629999999999998</c:v>
                </c:pt>
                <c:pt idx="7">
                  <c:v>-4.056</c:v>
                </c:pt>
                <c:pt idx="8">
                  <c:v>-4.298</c:v>
                </c:pt>
                <c:pt idx="9">
                  <c:v>-4.609</c:v>
                </c:pt>
                <c:pt idx="10">
                  <c:v>-4.9039999999999999</c:v>
                </c:pt>
                <c:pt idx="11">
                  <c:v>-5.2060000000000004</c:v>
                </c:pt>
                <c:pt idx="12">
                  <c:v>-5.5090000000000003</c:v>
                </c:pt>
                <c:pt idx="13">
                  <c:v>-5.766</c:v>
                </c:pt>
                <c:pt idx="14">
                  <c:v>-6.0839999999999996</c:v>
                </c:pt>
                <c:pt idx="15">
                  <c:v>-6.3339999999999996</c:v>
                </c:pt>
                <c:pt idx="16">
                  <c:v>-6.7050000000000001</c:v>
                </c:pt>
                <c:pt idx="17">
                  <c:v>-7.0449999999999999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72-9E48-B545-30B202DCF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3366880"/>
        <c:axId val="433369872"/>
      </c:scatterChart>
      <c:valAx>
        <c:axId val="433366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  <a:r>
                  <a:rPr lang="en-GB" baseline="0"/>
                  <a:t> elapsed (s)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369872"/>
        <c:crosses val="autoZero"/>
        <c:crossBetween val="midCat"/>
      </c:valAx>
      <c:valAx>
        <c:axId val="43336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Velocity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366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u="sng"/>
              <a:t>Velocity</a:t>
            </a:r>
            <a:r>
              <a:rPr lang="en-GB" u="sng" baseline="0"/>
              <a:t> (m/s) against time elapsed (s) for a soccer ball falling in the earths gravitational field</a:t>
            </a:r>
            <a:endParaRPr lang="en-GB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Sheet1!$X$120:$X$140</c:f>
              <c:numCache>
                <c:formatCode>0.00E+00</c:formatCode>
                <c:ptCount val="21"/>
                <c:pt idx="0">
                  <c:v>3.3329999999999999E-2</c:v>
                </c:pt>
                <c:pt idx="1">
                  <c:v>6.6669999999999993E-2</c:v>
                </c:pt>
                <c:pt idx="2" formatCode="General">
                  <c:v>0.1</c:v>
                </c:pt>
                <c:pt idx="3" formatCode="General">
                  <c:v>0.13300000000000001</c:v>
                </c:pt>
                <c:pt idx="4" formatCode="General">
                  <c:v>0.16700000000000001</c:v>
                </c:pt>
                <c:pt idx="5" formatCode="General">
                  <c:v>0.2</c:v>
                </c:pt>
                <c:pt idx="6" formatCode="General">
                  <c:v>0.23300000000000001</c:v>
                </c:pt>
                <c:pt idx="7" formatCode="General">
                  <c:v>0.26700000000000002</c:v>
                </c:pt>
                <c:pt idx="8" formatCode="General">
                  <c:v>0.3</c:v>
                </c:pt>
                <c:pt idx="9" formatCode="General">
                  <c:v>0.33300000000000002</c:v>
                </c:pt>
                <c:pt idx="10" formatCode="General">
                  <c:v>0.36699999999999999</c:v>
                </c:pt>
                <c:pt idx="11" formatCode="General">
                  <c:v>0.4</c:v>
                </c:pt>
                <c:pt idx="12" formatCode="General">
                  <c:v>0.433</c:v>
                </c:pt>
                <c:pt idx="13" formatCode="General">
                  <c:v>0.46700000000000003</c:v>
                </c:pt>
                <c:pt idx="14" formatCode="General">
                  <c:v>0.5</c:v>
                </c:pt>
                <c:pt idx="15" formatCode="General">
                  <c:v>0.53300000000000003</c:v>
                </c:pt>
                <c:pt idx="16" formatCode="General">
                  <c:v>0.56699999999999995</c:v>
                </c:pt>
                <c:pt idx="17" formatCode="General">
                  <c:v>0.6</c:v>
                </c:pt>
                <c:pt idx="18" formatCode="General">
                  <c:v>0.63300000000000001</c:v>
                </c:pt>
                <c:pt idx="19" formatCode="General">
                  <c:v>0.66700000000000004</c:v>
                </c:pt>
              </c:numCache>
            </c:numRef>
          </c:xVal>
          <c:yVal>
            <c:numRef>
              <c:f>Sheet1!$Y$120:$Y$140</c:f>
              <c:numCache>
                <c:formatCode>General</c:formatCode>
                <c:ptCount val="21"/>
                <c:pt idx="0">
                  <c:v>-0.94799999999999995</c:v>
                </c:pt>
                <c:pt idx="1">
                  <c:v>-1.284</c:v>
                </c:pt>
                <c:pt idx="2">
                  <c:v>-1.492</c:v>
                </c:pt>
                <c:pt idx="3">
                  <c:v>-1.835</c:v>
                </c:pt>
                <c:pt idx="4">
                  <c:v>-2.278</c:v>
                </c:pt>
                <c:pt idx="5">
                  <c:v>-2.5990000000000002</c:v>
                </c:pt>
                <c:pt idx="6">
                  <c:v>-2.9350000000000001</c:v>
                </c:pt>
                <c:pt idx="7">
                  <c:v>-3.302</c:v>
                </c:pt>
                <c:pt idx="8">
                  <c:v>-3.6389999999999998</c:v>
                </c:pt>
                <c:pt idx="9">
                  <c:v>-3.7909999999999999</c:v>
                </c:pt>
                <c:pt idx="10">
                  <c:v>-4.1740000000000004</c:v>
                </c:pt>
                <c:pt idx="11">
                  <c:v>-4.6319999999999997</c:v>
                </c:pt>
                <c:pt idx="12">
                  <c:v>-4.8620000000000001</c:v>
                </c:pt>
                <c:pt idx="13">
                  <c:v>-5.0910000000000002</c:v>
                </c:pt>
                <c:pt idx="14">
                  <c:v>-5.351</c:v>
                </c:pt>
                <c:pt idx="15">
                  <c:v>-5.7030000000000003</c:v>
                </c:pt>
                <c:pt idx="16">
                  <c:v>-6.0389999999999997</c:v>
                </c:pt>
                <c:pt idx="17">
                  <c:v>-6.3289999999999997</c:v>
                </c:pt>
                <c:pt idx="18">
                  <c:v>-6.452</c:v>
                </c:pt>
                <c:pt idx="19">
                  <c:v>-6.8339999999999996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05-2947-B81C-4F89B3EA7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840880"/>
        <c:axId val="526842528"/>
      </c:scatterChart>
      <c:valAx>
        <c:axId val="526840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elapsed</a:t>
                </a:r>
                <a:r>
                  <a:rPr lang="en-GB" baseline="0"/>
                  <a:t> (s)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842528"/>
        <c:crosses val="autoZero"/>
        <c:crossBetween val="midCat"/>
      </c:valAx>
      <c:valAx>
        <c:axId val="52684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Velocity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840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Sheet1!$R$208:$R$227</c:f>
              <c:numCache>
                <c:formatCode>0.00E+00</c:formatCode>
                <c:ptCount val="20"/>
                <c:pt idx="0">
                  <c:v>3.3329999999999999E-2</c:v>
                </c:pt>
                <c:pt idx="1">
                  <c:v>6.6669999999999993E-2</c:v>
                </c:pt>
                <c:pt idx="2" formatCode="General">
                  <c:v>0.1</c:v>
                </c:pt>
                <c:pt idx="3" formatCode="General">
                  <c:v>0.13300000000000001</c:v>
                </c:pt>
                <c:pt idx="4" formatCode="General">
                  <c:v>0.16700000000000001</c:v>
                </c:pt>
                <c:pt idx="5" formatCode="General">
                  <c:v>0.2</c:v>
                </c:pt>
                <c:pt idx="6" formatCode="General">
                  <c:v>0.23300000000000001</c:v>
                </c:pt>
                <c:pt idx="7" formatCode="General">
                  <c:v>0.26700000000000002</c:v>
                </c:pt>
                <c:pt idx="8" formatCode="General">
                  <c:v>0.3</c:v>
                </c:pt>
                <c:pt idx="9" formatCode="General">
                  <c:v>0.33300000000000002</c:v>
                </c:pt>
                <c:pt idx="10" formatCode="General">
                  <c:v>0.36699999999999999</c:v>
                </c:pt>
                <c:pt idx="11" formatCode="General">
                  <c:v>0.4</c:v>
                </c:pt>
                <c:pt idx="12" formatCode="General">
                  <c:v>0.433</c:v>
                </c:pt>
                <c:pt idx="13" formatCode="General">
                  <c:v>0.46700000000000003</c:v>
                </c:pt>
                <c:pt idx="14" formatCode="General">
                  <c:v>0.5</c:v>
                </c:pt>
                <c:pt idx="15" formatCode="General">
                  <c:v>0.53300000000000003</c:v>
                </c:pt>
                <c:pt idx="16" formatCode="General">
                  <c:v>0.56699999999999995</c:v>
                </c:pt>
                <c:pt idx="17" formatCode="General">
                  <c:v>0.6</c:v>
                </c:pt>
                <c:pt idx="18" formatCode="General">
                  <c:v>0.63300000000000001</c:v>
                </c:pt>
                <c:pt idx="19" formatCode="General">
                  <c:v>0.66700000000000004</c:v>
                </c:pt>
              </c:numCache>
            </c:numRef>
          </c:xVal>
          <c:yVal>
            <c:numRef>
              <c:f>Sheet1!$S$208:$S$227</c:f>
              <c:numCache>
                <c:formatCode>General</c:formatCode>
                <c:ptCount val="20"/>
                <c:pt idx="0">
                  <c:v>-1.1599999999999999</c:v>
                </c:pt>
                <c:pt idx="1">
                  <c:v>-1.496</c:v>
                </c:pt>
                <c:pt idx="2">
                  <c:v>-1.835</c:v>
                </c:pt>
                <c:pt idx="3">
                  <c:v>-2.1970000000000001</c:v>
                </c:pt>
                <c:pt idx="4">
                  <c:v>-2.5569999999999999</c:v>
                </c:pt>
                <c:pt idx="5">
                  <c:v>-2.8980000000000001</c:v>
                </c:pt>
                <c:pt idx="6">
                  <c:v>-3.2789999999999999</c:v>
                </c:pt>
                <c:pt idx="7">
                  <c:v>-3.6219999999999999</c:v>
                </c:pt>
                <c:pt idx="8">
                  <c:v>-3.9990000000000001</c:v>
                </c:pt>
                <c:pt idx="9">
                  <c:v>-4.3209999999999997</c:v>
                </c:pt>
                <c:pt idx="10">
                  <c:v>-4.5919999999999996</c:v>
                </c:pt>
                <c:pt idx="11">
                  <c:v>-4.9160000000000004</c:v>
                </c:pt>
                <c:pt idx="12">
                  <c:v>-5.1870000000000003</c:v>
                </c:pt>
                <c:pt idx="13">
                  <c:v>-5.5060000000000002</c:v>
                </c:pt>
                <c:pt idx="14">
                  <c:v>-5.7519999999999998</c:v>
                </c:pt>
                <c:pt idx="15">
                  <c:v>-6.01</c:v>
                </c:pt>
                <c:pt idx="16">
                  <c:v>-6.3280000000000003</c:v>
                </c:pt>
                <c:pt idx="17">
                  <c:v>-6.657</c:v>
                </c:pt>
                <c:pt idx="18">
                  <c:v>-6.992</c:v>
                </c:pt>
                <c:pt idx="19">
                  <c:v>-7.2549999999999999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C8-3240-B396-DD18A39F9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444976"/>
        <c:axId val="432318368"/>
      </c:scatterChart>
      <c:valAx>
        <c:axId val="43244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318368"/>
        <c:crosses val="autoZero"/>
        <c:crossBetween val="midCat"/>
      </c:valAx>
      <c:valAx>
        <c:axId val="43231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444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u="sng"/>
              <a:t>Velocity</a:t>
            </a:r>
            <a:r>
              <a:rPr lang="en-GB" u="sng" baseline="0"/>
              <a:t> (m/s) against time elapsed (s) for a bottle falling in the earths gravitational field</a:t>
            </a:r>
            <a:endParaRPr lang="en-GB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Sheet1!$P$250:$P$268</c:f>
              <c:numCache>
                <c:formatCode>0.00E+00</c:formatCode>
                <c:ptCount val="19"/>
                <c:pt idx="0">
                  <c:v>3.3360000000000001E-2</c:v>
                </c:pt>
                <c:pt idx="1">
                  <c:v>6.6720000000000002E-2</c:v>
                </c:pt>
                <c:pt idx="2" formatCode="General">
                  <c:v>0.1</c:v>
                </c:pt>
                <c:pt idx="3" formatCode="General">
                  <c:v>0.13300000000000001</c:v>
                </c:pt>
                <c:pt idx="4" formatCode="General">
                  <c:v>0.16700000000000001</c:v>
                </c:pt>
                <c:pt idx="5" formatCode="General">
                  <c:v>0.2</c:v>
                </c:pt>
                <c:pt idx="6" formatCode="General">
                  <c:v>0.23400000000000001</c:v>
                </c:pt>
                <c:pt idx="7" formatCode="General">
                  <c:v>0.26700000000000002</c:v>
                </c:pt>
                <c:pt idx="8" formatCode="General">
                  <c:v>0.3</c:v>
                </c:pt>
                <c:pt idx="9" formatCode="General">
                  <c:v>0.33400000000000002</c:v>
                </c:pt>
                <c:pt idx="10" formatCode="General">
                  <c:v>0.36699999999999999</c:v>
                </c:pt>
                <c:pt idx="11" formatCode="General">
                  <c:v>0.4</c:v>
                </c:pt>
                <c:pt idx="12" formatCode="General">
                  <c:v>0.434</c:v>
                </c:pt>
                <c:pt idx="13" formatCode="General">
                  <c:v>0.46700000000000003</c:v>
                </c:pt>
                <c:pt idx="14" formatCode="General">
                  <c:v>0.5</c:v>
                </c:pt>
                <c:pt idx="15" formatCode="General">
                  <c:v>0.53400000000000003</c:v>
                </c:pt>
                <c:pt idx="16" formatCode="General">
                  <c:v>0.56699999999999995</c:v>
                </c:pt>
                <c:pt idx="17" formatCode="General">
                  <c:v>0.6</c:v>
                </c:pt>
                <c:pt idx="18" formatCode="General">
                  <c:v>0.63400000000000001</c:v>
                </c:pt>
              </c:numCache>
            </c:numRef>
          </c:xVal>
          <c:yVal>
            <c:numRef>
              <c:f>Sheet1!$Q$250:$Q$268</c:f>
              <c:numCache>
                <c:formatCode>General</c:formatCode>
                <c:ptCount val="19"/>
                <c:pt idx="0">
                  <c:v>-0.93200000000000005</c:v>
                </c:pt>
                <c:pt idx="1">
                  <c:v>-1.2869999999999999</c:v>
                </c:pt>
                <c:pt idx="2">
                  <c:v>-1.716</c:v>
                </c:pt>
                <c:pt idx="3">
                  <c:v>-2.0270000000000001</c:v>
                </c:pt>
                <c:pt idx="4">
                  <c:v>-2.3530000000000002</c:v>
                </c:pt>
                <c:pt idx="5">
                  <c:v>-2.7370000000000001</c:v>
                </c:pt>
                <c:pt idx="6">
                  <c:v>-3.0630000000000002</c:v>
                </c:pt>
                <c:pt idx="7">
                  <c:v>-3.3879999999999999</c:v>
                </c:pt>
                <c:pt idx="8">
                  <c:v>-3.7440000000000002</c:v>
                </c:pt>
                <c:pt idx="9">
                  <c:v>-4.0990000000000002</c:v>
                </c:pt>
                <c:pt idx="10">
                  <c:v>-4.4089999999999998</c:v>
                </c:pt>
                <c:pt idx="11">
                  <c:v>-4.6900000000000004</c:v>
                </c:pt>
                <c:pt idx="12">
                  <c:v>-4.9859999999999998</c:v>
                </c:pt>
                <c:pt idx="13">
                  <c:v>-5.2380000000000004</c:v>
                </c:pt>
                <c:pt idx="14">
                  <c:v>-5.5490000000000004</c:v>
                </c:pt>
                <c:pt idx="15">
                  <c:v>-5.9039999999999999</c:v>
                </c:pt>
                <c:pt idx="16">
                  <c:v>-6.17</c:v>
                </c:pt>
                <c:pt idx="17">
                  <c:v>-6.4660000000000002</c:v>
                </c:pt>
                <c:pt idx="18">
                  <c:v>-6.7030000000000003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E7-894A-A4ED-1AC909590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3427120"/>
        <c:axId val="433437232"/>
      </c:scatterChart>
      <c:valAx>
        <c:axId val="433427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elapsed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437232"/>
        <c:crosses val="autoZero"/>
        <c:crossBetween val="midCat"/>
      </c:valAx>
      <c:valAx>
        <c:axId val="43343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Velocity</a:t>
                </a:r>
                <a:r>
                  <a:rPr lang="en-GB" baseline="0"/>
                  <a:t> (m/s)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427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u="sng"/>
              <a:t>Velocity</a:t>
            </a:r>
            <a:r>
              <a:rPr lang="en-GB" u="sng" baseline="0"/>
              <a:t> (m/s) against time elapsed (s) for a soccer ball falling in the earths gravitational field</a:t>
            </a:r>
            <a:endParaRPr lang="en-GB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Sheet1!$X$120:$X$140</c:f>
              <c:numCache>
                <c:formatCode>0.00E+00</c:formatCode>
                <c:ptCount val="21"/>
                <c:pt idx="0">
                  <c:v>3.3329999999999999E-2</c:v>
                </c:pt>
                <c:pt idx="1">
                  <c:v>6.6669999999999993E-2</c:v>
                </c:pt>
                <c:pt idx="2" formatCode="General">
                  <c:v>0.1</c:v>
                </c:pt>
                <c:pt idx="3" formatCode="General">
                  <c:v>0.13300000000000001</c:v>
                </c:pt>
                <c:pt idx="4" formatCode="General">
                  <c:v>0.16700000000000001</c:v>
                </c:pt>
                <c:pt idx="5" formatCode="General">
                  <c:v>0.2</c:v>
                </c:pt>
                <c:pt idx="6" formatCode="General">
                  <c:v>0.23300000000000001</c:v>
                </c:pt>
                <c:pt idx="7" formatCode="General">
                  <c:v>0.26700000000000002</c:v>
                </c:pt>
                <c:pt idx="8" formatCode="General">
                  <c:v>0.3</c:v>
                </c:pt>
                <c:pt idx="9" formatCode="General">
                  <c:v>0.33300000000000002</c:v>
                </c:pt>
                <c:pt idx="10" formatCode="General">
                  <c:v>0.36699999999999999</c:v>
                </c:pt>
                <c:pt idx="11" formatCode="General">
                  <c:v>0.4</c:v>
                </c:pt>
                <c:pt idx="12" formatCode="General">
                  <c:v>0.433</c:v>
                </c:pt>
                <c:pt idx="13" formatCode="General">
                  <c:v>0.46700000000000003</c:v>
                </c:pt>
                <c:pt idx="14" formatCode="General">
                  <c:v>0.5</c:v>
                </c:pt>
                <c:pt idx="15" formatCode="General">
                  <c:v>0.53300000000000003</c:v>
                </c:pt>
                <c:pt idx="16" formatCode="General">
                  <c:v>0.56699999999999995</c:v>
                </c:pt>
                <c:pt idx="17" formatCode="General">
                  <c:v>0.6</c:v>
                </c:pt>
                <c:pt idx="18" formatCode="General">
                  <c:v>0.63300000000000001</c:v>
                </c:pt>
                <c:pt idx="19" formatCode="General">
                  <c:v>0.66700000000000004</c:v>
                </c:pt>
              </c:numCache>
            </c:numRef>
          </c:xVal>
          <c:yVal>
            <c:numRef>
              <c:f>Sheet1!$Y$120:$Y$140</c:f>
              <c:numCache>
                <c:formatCode>General</c:formatCode>
                <c:ptCount val="21"/>
                <c:pt idx="0">
                  <c:v>-0.94799999999999995</c:v>
                </c:pt>
                <c:pt idx="1">
                  <c:v>-1.284</c:v>
                </c:pt>
                <c:pt idx="2">
                  <c:v>-1.492</c:v>
                </c:pt>
                <c:pt idx="3">
                  <c:v>-1.835</c:v>
                </c:pt>
                <c:pt idx="4">
                  <c:v>-2.278</c:v>
                </c:pt>
                <c:pt idx="5">
                  <c:v>-2.5990000000000002</c:v>
                </c:pt>
                <c:pt idx="6">
                  <c:v>-2.9350000000000001</c:v>
                </c:pt>
                <c:pt idx="7">
                  <c:v>-3.302</c:v>
                </c:pt>
                <c:pt idx="8">
                  <c:v>-3.6389999999999998</c:v>
                </c:pt>
                <c:pt idx="9">
                  <c:v>-3.7909999999999999</c:v>
                </c:pt>
                <c:pt idx="10">
                  <c:v>-4.1740000000000004</c:v>
                </c:pt>
                <c:pt idx="11">
                  <c:v>-4.6319999999999997</c:v>
                </c:pt>
                <c:pt idx="12">
                  <c:v>-4.8620000000000001</c:v>
                </c:pt>
                <c:pt idx="13">
                  <c:v>-5.0910000000000002</c:v>
                </c:pt>
                <c:pt idx="14">
                  <c:v>-5.351</c:v>
                </c:pt>
                <c:pt idx="15">
                  <c:v>-5.7030000000000003</c:v>
                </c:pt>
                <c:pt idx="16">
                  <c:v>-6.0389999999999997</c:v>
                </c:pt>
                <c:pt idx="17">
                  <c:v>-6.3289999999999997</c:v>
                </c:pt>
                <c:pt idx="18">
                  <c:v>-6.452</c:v>
                </c:pt>
                <c:pt idx="19">
                  <c:v>-6.8339999999999996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5D-B541-93DA-AAE19912A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840880"/>
        <c:axId val="526842528"/>
      </c:scatterChart>
      <c:valAx>
        <c:axId val="526840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elapsed</a:t>
                </a:r>
                <a:r>
                  <a:rPr lang="en-GB" baseline="0"/>
                  <a:t> (s)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842528"/>
        <c:crosses val="autoZero"/>
        <c:crossBetween val="midCat"/>
      </c:valAx>
      <c:valAx>
        <c:axId val="52684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Velocity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840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Sheet1!$L$287:$L$306</c:f>
              <c:numCache>
                <c:formatCode>0.00E+00</c:formatCode>
                <c:ptCount val="20"/>
                <c:pt idx="0">
                  <c:v>3.3360000000000001E-2</c:v>
                </c:pt>
                <c:pt idx="1">
                  <c:v>6.6720000000000002E-2</c:v>
                </c:pt>
                <c:pt idx="2" formatCode="General">
                  <c:v>0.1</c:v>
                </c:pt>
                <c:pt idx="3" formatCode="General">
                  <c:v>0.13300000000000001</c:v>
                </c:pt>
                <c:pt idx="4" formatCode="General">
                  <c:v>0.16700000000000001</c:v>
                </c:pt>
                <c:pt idx="5" formatCode="General">
                  <c:v>0.2</c:v>
                </c:pt>
                <c:pt idx="6" formatCode="General">
                  <c:v>0.23400000000000001</c:v>
                </c:pt>
                <c:pt idx="7" formatCode="General">
                  <c:v>0.26700000000000002</c:v>
                </c:pt>
                <c:pt idx="8" formatCode="General">
                  <c:v>0.3</c:v>
                </c:pt>
                <c:pt idx="9" formatCode="General">
                  <c:v>0.33400000000000002</c:v>
                </c:pt>
                <c:pt idx="10" formatCode="General">
                  <c:v>0.36699999999999999</c:v>
                </c:pt>
                <c:pt idx="11" formatCode="General">
                  <c:v>0.4</c:v>
                </c:pt>
                <c:pt idx="12" formatCode="General">
                  <c:v>0.434</c:v>
                </c:pt>
                <c:pt idx="13" formatCode="General">
                  <c:v>0.46700000000000003</c:v>
                </c:pt>
                <c:pt idx="14" formatCode="General">
                  <c:v>0.5</c:v>
                </c:pt>
                <c:pt idx="15" formatCode="General">
                  <c:v>0.53400000000000003</c:v>
                </c:pt>
                <c:pt idx="16" formatCode="General">
                  <c:v>0.56699999999999995</c:v>
                </c:pt>
                <c:pt idx="17" formatCode="General">
                  <c:v>0.6</c:v>
                </c:pt>
                <c:pt idx="18" formatCode="General">
                  <c:v>0.63400000000000001</c:v>
                </c:pt>
                <c:pt idx="19" formatCode="General">
                  <c:v>0.66700000000000004</c:v>
                </c:pt>
              </c:numCache>
            </c:numRef>
          </c:xVal>
          <c:yVal>
            <c:numRef>
              <c:f>Sheet1!$M$287:$M$306</c:f>
              <c:numCache>
                <c:formatCode>General</c:formatCode>
                <c:ptCount val="20"/>
                <c:pt idx="0">
                  <c:v>-0.99099999999999999</c:v>
                </c:pt>
                <c:pt idx="1">
                  <c:v>-1.3320000000000001</c:v>
                </c:pt>
                <c:pt idx="2">
                  <c:v>-1.6870000000000001</c:v>
                </c:pt>
                <c:pt idx="3">
                  <c:v>-1.998</c:v>
                </c:pt>
                <c:pt idx="4">
                  <c:v>-2.3380000000000001</c:v>
                </c:pt>
                <c:pt idx="5">
                  <c:v>-2.7080000000000002</c:v>
                </c:pt>
                <c:pt idx="6">
                  <c:v>-3.004</c:v>
                </c:pt>
                <c:pt idx="7">
                  <c:v>-3.3140000000000001</c:v>
                </c:pt>
                <c:pt idx="8">
                  <c:v>-3.6989999999999998</c:v>
                </c:pt>
                <c:pt idx="9">
                  <c:v>-4.0389999999999997</c:v>
                </c:pt>
                <c:pt idx="10">
                  <c:v>-4.335</c:v>
                </c:pt>
                <c:pt idx="11">
                  <c:v>-4.6020000000000003</c:v>
                </c:pt>
                <c:pt idx="12">
                  <c:v>-4.8239999999999998</c:v>
                </c:pt>
                <c:pt idx="13">
                  <c:v>-5.0750000000000002</c:v>
                </c:pt>
                <c:pt idx="14">
                  <c:v>-5.3860000000000001</c:v>
                </c:pt>
                <c:pt idx="15">
                  <c:v>-5.7409999999999997</c:v>
                </c:pt>
                <c:pt idx="16">
                  <c:v>-6.0220000000000002</c:v>
                </c:pt>
                <c:pt idx="17">
                  <c:v>-6.274</c:v>
                </c:pt>
                <c:pt idx="18">
                  <c:v>-6.54</c:v>
                </c:pt>
                <c:pt idx="19">
                  <c:v>-6.7320000000000002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FF-D04A-BED3-6FCDA5A26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117024"/>
        <c:axId val="527157424"/>
      </c:scatterChart>
      <c:valAx>
        <c:axId val="527117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157424"/>
        <c:crosses val="autoZero"/>
        <c:crossBetween val="midCat"/>
      </c:valAx>
      <c:valAx>
        <c:axId val="52715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117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Sheet1!$Y$330:$Y$348</c:f>
              <c:numCache>
                <c:formatCode>0.00E+00</c:formatCode>
                <c:ptCount val="19"/>
                <c:pt idx="0">
                  <c:v>3.3329999999999999E-2</c:v>
                </c:pt>
                <c:pt idx="1">
                  <c:v>6.6669999999999993E-2</c:v>
                </c:pt>
                <c:pt idx="2" formatCode="General">
                  <c:v>0.1</c:v>
                </c:pt>
                <c:pt idx="3" formatCode="General">
                  <c:v>0.13300000000000001</c:v>
                </c:pt>
                <c:pt idx="4" formatCode="General">
                  <c:v>0.16700000000000001</c:v>
                </c:pt>
                <c:pt idx="5" formatCode="General">
                  <c:v>0.2</c:v>
                </c:pt>
                <c:pt idx="6" formatCode="General">
                  <c:v>0.23300000000000001</c:v>
                </c:pt>
                <c:pt idx="7" formatCode="General">
                  <c:v>0.26700000000000002</c:v>
                </c:pt>
                <c:pt idx="8" formatCode="General">
                  <c:v>0.3</c:v>
                </c:pt>
                <c:pt idx="9" formatCode="General">
                  <c:v>0.33300000000000002</c:v>
                </c:pt>
                <c:pt idx="10" formatCode="General">
                  <c:v>0.36699999999999999</c:v>
                </c:pt>
                <c:pt idx="11" formatCode="General">
                  <c:v>0.4</c:v>
                </c:pt>
                <c:pt idx="12" formatCode="General">
                  <c:v>0.433</c:v>
                </c:pt>
                <c:pt idx="13" formatCode="General">
                  <c:v>0.46700000000000003</c:v>
                </c:pt>
                <c:pt idx="14" formatCode="General">
                  <c:v>0.5</c:v>
                </c:pt>
                <c:pt idx="15" formatCode="General">
                  <c:v>0.53300000000000003</c:v>
                </c:pt>
                <c:pt idx="16" formatCode="General">
                  <c:v>0.56699999999999995</c:v>
                </c:pt>
                <c:pt idx="17" formatCode="General">
                  <c:v>0.6</c:v>
                </c:pt>
                <c:pt idx="18" formatCode="General">
                  <c:v>0.63300000000000001</c:v>
                </c:pt>
              </c:numCache>
            </c:numRef>
          </c:xVal>
          <c:yVal>
            <c:numRef>
              <c:f>Sheet1!$Z$330:$Z$348</c:f>
              <c:numCache>
                <c:formatCode>General</c:formatCode>
                <c:ptCount val="19"/>
                <c:pt idx="0">
                  <c:v>-1.6830000000000001</c:v>
                </c:pt>
                <c:pt idx="1">
                  <c:v>-2.0259999999999998</c:v>
                </c:pt>
                <c:pt idx="2">
                  <c:v>-2.3980000000000001</c:v>
                </c:pt>
                <c:pt idx="3">
                  <c:v>-2.7109999999999999</c:v>
                </c:pt>
                <c:pt idx="4">
                  <c:v>-3.0539999999999998</c:v>
                </c:pt>
                <c:pt idx="5">
                  <c:v>-3.4260000000000002</c:v>
                </c:pt>
                <c:pt idx="6">
                  <c:v>-3.7240000000000002</c:v>
                </c:pt>
                <c:pt idx="7">
                  <c:v>-4.0069999999999997</c:v>
                </c:pt>
                <c:pt idx="8">
                  <c:v>-4.335</c:v>
                </c:pt>
                <c:pt idx="9">
                  <c:v>-4.5880000000000001</c:v>
                </c:pt>
                <c:pt idx="10">
                  <c:v>-4.8410000000000002</c:v>
                </c:pt>
                <c:pt idx="11">
                  <c:v>-5.1539999999999999</c:v>
                </c:pt>
                <c:pt idx="12">
                  <c:v>-5.407</c:v>
                </c:pt>
                <c:pt idx="13">
                  <c:v>-5.6159999999999997</c:v>
                </c:pt>
                <c:pt idx="14">
                  <c:v>-5.8840000000000003</c:v>
                </c:pt>
                <c:pt idx="15">
                  <c:v>-6.2119999999999997</c:v>
                </c:pt>
                <c:pt idx="16">
                  <c:v>-6.39</c:v>
                </c:pt>
                <c:pt idx="17">
                  <c:v>-6.6139999999999999</c:v>
                </c:pt>
                <c:pt idx="18">
                  <c:v>-6.7480000000000002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B0-F94B-9E6F-8EB831D39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403856"/>
        <c:axId val="432531408"/>
      </c:scatterChart>
      <c:valAx>
        <c:axId val="432403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531408"/>
        <c:crosses val="autoZero"/>
        <c:crossBetween val="midCat"/>
      </c:valAx>
      <c:valAx>
        <c:axId val="43253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403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u="sng"/>
              <a:t>Velocity (m/s) against time elapsed (s) for a bucket falling</a:t>
            </a:r>
            <a:r>
              <a:rPr lang="en-GB" u="sng" baseline="0"/>
              <a:t> in the earths gravitational field</a:t>
            </a:r>
            <a:endParaRPr lang="en-GB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9.466732283464567E-2"/>
                  <c:y val="2.744531933508311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Sheet1!$U$382:$U$400</c:f>
              <c:numCache>
                <c:formatCode>0.00E+00</c:formatCode>
                <c:ptCount val="19"/>
                <c:pt idx="0">
                  <c:v>3.3329999999999999E-2</c:v>
                </c:pt>
                <c:pt idx="1">
                  <c:v>6.6669999999999993E-2</c:v>
                </c:pt>
                <c:pt idx="2" formatCode="General">
                  <c:v>0.1</c:v>
                </c:pt>
                <c:pt idx="3" formatCode="General">
                  <c:v>0.13300000000000001</c:v>
                </c:pt>
                <c:pt idx="4" formatCode="General">
                  <c:v>0.16700000000000001</c:v>
                </c:pt>
                <c:pt idx="5" formatCode="General">
                  <c:v>0.2</c:v>
                </c:pt>
                <c:pt idx="6" formatCode="General">
                  <c:v>0.23300000000000001</c:v>
                </c:pt>
                <c:pt idx="7" formatCode="General">
                  <c:v>0.26700000000000002</c:v>
                </c:pt>
                <c:pt idx="8" formatCode="General">
                  <c:v>0.3</c:v>
                </c:pt>
                <c:pt idx="9" formatCode="General">
                  <c:v>0.33300000000000002</c:v>
                </c:pt>
                <c:pt idx="10" formatCode="General">
                  <c:v>0.36699999999999999</c:v>
                </c:pt>
                <c:pt idx="11" formatCode="General">
                  <c:v>0.4</c:v>
                </c:pt>
                <c:pt idx="12" formatCode="General">
                  <c:v>0.433</c:v>
                </c:pt>
                <c:pt idx="13" formatCode="General">
                  <c:v>0.46700000000000003</c:v>
                </c:pt>
                <c:pt idx="14" formatCode="General">
                  <c:v>0.5</c:v>
                </c:pt>
                <c:pt idx="15" formatCode="General">
                  <c:v>0.53300000000000003</c:v>
                </c:pt>
                <c:pt idx="16" formatCode="General">
                  <c:v>0.56699999999999995</c:v>
                </c:pt>
                <c:pt idx="17" formatCode="General">
                  <c:v>0.6</c:v>
                </c:pt>
                <c:pt idx="18" formatCode="General">
                  <c:v>0.63300000000000001</c:v>
                </c:pt>
              </c:numCache>
            </c:numRef>
          </c:xVal>
          <c:yVal>
            <c:numRef>
              <c:f>Sheet1!$V$382:$V$400</c:f>
              <c:numCache>
                <c:formatCode>General</c:formatCode>
                <c:ptCount val="19"/>
                <c:pt idx="0">
                  <c:v>-1.752</c:v>
                </c:pt>
                <c:pt idx="1">
                  <c:v>-2.097</c:v>
                </c:pt>
                <c:pt idx="2">
                  <c:v>-2.4689999999999999</c:v>
                </c:pt>
                <c:pt idx="3">
                  <c:v>-2.7610000000000001</c:v>
                </c:pt>
                <c:pt idx="4">
                  <c:v>-3.0529999999999999</c:v>
                </c:pt>
                <c:pt idx="5">
                  <c:v>-3.4249999999999998</c:v>
                </c:pt>
                <c:pt idx="6">
                  <c:v>-3.7959999999999998</c:v>
                </c:pt>
                <c:pt idx="7">
                  <c:v>-4.0880000000000001</c:v>
                </c:pt>
                <c:pt idx="8">
                  <c:v>-4.3540000000000001</c:v>
                </c:pt>
                <c:pt idx="9">
                  <c:v>-4.6189999999999998</c:v>
                </c:pt>
                <c:pt idx="10">
                  <c:v>-4.9640000000000004</c:v>
                </c:pt>
                <c:pt idx="11">
                  <c:v>-5.2030000000000003</c:v>
                </c:pt>
                <c:pt idx="12">
                  <c:v>-5.3620000000000001</c:v>
                </c:pt>
                <c:pt idx="13">
                  <c:v>-5.5750000000000002</c:v>
                </c:pt>
                <c:pt idx="14">
                  <c:v>-5.84</c:v>
                </c:pt>
                <c:pt idx="15">
                  <c:v>-6.2389999999999999</c:v>
                </c:pt>
                <c:pt idx="16">
                  <c:v>-6.7430000000000003</c:v>
                </c:pt>
                <c:pt idx="17">
                  <c:v>-6.9820000000000002</c:v>
                </c:pt>
                <c:pt idx="18">
                  <c:v>-7.141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7B-234C-B83E-6EB915BBC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691808"/>
        <c:axId val="432337408"/>
      </c:scatterChart>
      <c:valAx>
        <c:axId val="432691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elapsed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337408"/>
        <c:crosses val="autoZero"/>
        <c:crossBetween val="midCat"/>
      </c:valAx>
      <c:valAx>
        <c:axId val="43233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Velocity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69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u="sng"/>
              <a:t>Velocity (m/s) against time elapsed (s) for a tape roll falling in the earths gravitational field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7.8916666666666663E-2"/>
                  <c:y val="1.494896471274424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Sheet1!$O$477:$O$496</c:f>
              <c:numCache>
                <c:formatCode>General</c:formatCode>
                <c:ptCount val="20"/>
                <c:pt idx="0">
                  <c:v>0.66700000000000004</c:v>
                </c:pt>
                <c:pt idx="1">
                  <c:v>0.63300000000000001</c:v>
                </c:pt>
                <c:pt idx="2">
                  <c:v>0.6</c:v>
                </c:pt>
                <c:pt idx="3">
                  <c:v>0.56699999999999995</c:v>
                </c:pt>
                <c:pt idx="4">
                  <c:v>0.53300000000000003</c:v>
                </c:pt>
                <c:pt idx="5">
                  <c:v>0.5</c:v>
                </c:pt>
                <c:pt idx="6">
                  <c:v>0.46700000000000003</c:v>
                </c:pt>
                <c:pt idx="7">
                  <c:v>0.433</c:v>
                </c:pt>
                <c:pt idx="8">
                  <c:v>0.4</c:v>
                </c:pt>
                <c:pt idx="9">
                  <c:v>0.36699999999999999</c:v>
                </c:pt>
                <c:pt idx="10">
                  <c:v>0.33300000000000002</c:v>
                </c:pt>
                <c:pt idx="11">
                  <c:v>0.3</c:v>
                </c:pt>
                <c:pt idx="12">
                  <c:v>0.26700000000000002</c:v>
                </c:pt>
                <c:pt idx="13">
                  <c:v>0.23300000000000001</c:v>
                </c:pt>
                <c:pt idx="14">
                  <c:v>0.2</c:v>
                </c:pt>
                <c:pt idx="15">
                  <c:v>0.16700000000000001</c:v>
                </c:pt>
                <c:pt idx="16">
                  <c:v>0.13300000000000001</c:v>
                </c:pt>
                <c:pt idx="17">
                  <c:v>0.1</c:v>
                </c:pt>
                <c:pt idx="18" formatCode="0.00E+00">
                  <c:v>6.6669999999999993E-2</c:v>
                </c:pt>
                <c:pt idx="19" formatCode="0.00E+00">
                  <c:v>3.3329999999999999E-2</c:v>
                </c:pt>
              </c:numCache>
            </c:numRef>
          </c:xVal>
          <c:yVal>
            <c:numRef>
              <c:f>Sheet1!$P$477:$P$496</c:f>
              <c:numCache>
                <c:formatCode>General</c:formatCode>
                <c:ptCount val="20"/>
                <c:pt idx="0">
                  <c:v>-7.2549999999999999</c:v>
                </c:pt>
                <c:pt idx="1">
                  <c:v>-6.992</c:v>
                </c:pt>
                <c:pt idx="2">
                  <c:v>-6.657</c:v>
                </c:pt>
                <c:pt idx="3">
                  <c:v>-6.3280000000000003</c:v>
                </c:pt>
                <c:pt idx="4">
                  <c:v>-6.01</c:v>
                </c:pt>
                <c:pt idx="5">
                  <c:v>-5.7519999999999998</c:v>
                </c:pt>
                <c:pt idx="6">
                  <c:v>-5.5060000000000002</c:v>
                </c:pt>
                <c:pt idx="7">
                  <c:v>-5.1870000000000003</c:v>
                </c:pt>
                <c:pt idx="8">
                  <c:v>-4.9160000000000004</c:v>
                </c:pt>
                <c:pt idx="9">
                  <c:v>-4.5919999999999996</c:v>
                </c:pt>
                <c:pt idx="10">
                  <c:v>-4.3209999999999997</c:v>
                </c:pt>
                <c:pt idx="11">
                  <c:v>-3.9990000000000001</c:v>
                </c:pt>
                <c:pt idx="12">
                  <c:v>-3.6219999999999999</c:v>
                </c:pt>
                <c:pt idx="13">
                  <c:v>-3.2789999999999999</c:v>
                </c:pt>
                <c:pt idx="14">
                  <c:v>-2.8980000000000001</c:v>
                </c:pt>
                <c:pt idx="15">
                  <c:v>-2.5569999999999999</c:v>
                </c:pt>
                <c:pt idx="16">
                  <c:v>-2.1970000000000001</c:v>
                </c:pt>
                <c:pt idx="17">
                  <c:v>-1.835</c:v>
                </c:pt>
                <c:pt idx="18">
                  <c:v>-1.496</c:v>
                </c:pt>
                <c:pt idx="19">
                  <c:v>-1.1599999999999999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B7-004A-9137-0A3EFC513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787872"/>
        <c:axId val="432789520"/>
      </c:scatterChart>
      <c:valAx>
        <c:axId val="432787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elapsed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789520"/>
        <c:crosses val="autoZero"/>
        <c:crossBetween val="midCat"/>
      </c:valAx>
      <c:valAx>
        <c:axId val="43278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Velocity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787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577850</xdr:colOff>
      <xdr:row>10</xdr:row>
      <xdr:rowOff>38100</xdr:rowOff>
    </xdr:from>
    <xdr:to>
      <xdr:col>9</xdr:col>
      <xdr:colOff>196850</xdr:colOff>
      <xdr:row>23</xdr:row>
      <xdr:rowOff>139700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D492932-CEE3-8541-B472-1F30E0314C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82550</xdr:colOff>
      <xdr:row>26</xdr:row>
      <xdr:rowOff>38100</xdr:rowOff>
    </xdr:from>
    <xdr:to>
      <xdr:col>14</xdr:col>
      <xdr:colOff>527050</xdr:colOff>
      <xdr:row>39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DDB851-4059-074E-B621-DE792A9DBC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478366</xdr:colOff>
      <xdr:row>8</xdr:row>
      <xdr:rowOff>33866</xdr:rowOff>
    </xdr:from>
    <xdr:to>
      <xdr:col>24</xdr:col>
      <xdr:colOff>643466</xdr:colOff>
      <xdr:row>24</xdr:row>
      <xdr:rowOff>71966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91F225-B9CD-42F0-7575-B2C109EBD4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152399</xdr:colOff>
      <xdr:row>102</xdr:row>
      <xdr:rowOff>97367</xdr:rowOff>
    </xdr:from>
    <xdr:to>
      <xdr:col>13</xdr:col>
      <xdr:colOff>596900</xdr:colOff>
      <xdr:row>115</xdr:row>
      <xdr:rowOff>198967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1AD907-9FAB-62C0-C04D-227B9E7507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342900</xdr:colOff>
      <xdr:row>98</xdr:row>
      <xdr:rowOff>4234</xdr:rowOff>
    </xdr:from>
    <xdr:to>
      <xdr:col>25</xdr:col>
      <xdr:colOff>292100</xdr:colOff>
      <xdr:row>113</xdr:row>
      <xdr:rowOff>16934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EEAB398-A7EC-032F-BBDC-2F75A439E6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381000</xdr:colOff>
      <xdr:row>205</xdr:row>
      <xdr:rowOff>50800</xdr:rowOff>
    </xdr:from>
    <xdr:to>
      <xdr:col>16</xdr:col>
      <xdr:colOff>0</xdr:colOff>
      <xdr:row>218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D20F93B-AAC4-52EF-21DE-0247DF5EB4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787400</xdr:colOff>
      <xdr:row>248</xdr:row>
      <xdr:rowOff>139700</xdr:rowOff>
    </xdr:from>
    <xdr:to>
      <xdr:col>23</xdr:col>
      <xdr:colOff>406400</xdr:colOff>
      <xdr:row>262</xdr:row>
      <xdr:rowOff>38100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DD0D008-3205-EF3F-127A-112040144A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723900</xdr:colOff>
      <xdr:row>179</xdr:row>
      <xdr:rowOff>139700</xdr:rowOff>
    </xdr:from>
    <xdr:to>
      <xdr:col>27</xdr:col>
      <xdr:colOff>673100</xdr:colOff>
      <xdr:row>194</xdr:row>
      <xdr:rowOff>152400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00A69FA-A1C7-B342-A722-1ECFF3F583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431800</xdr:colOff>
      <xdr:row>293</xdr:row>
      <xdr:rowOff>0</xdr:rowOff>
    </xdr:from>
    <xdr:to>
      <xdr:col>22</xdr:col>
      <xdr:colOff>50800</xdr:colOff>
      <xdr:row>306</xdr:row>
      <xdr:rowOff>101600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E0BBFA0-8969-B793-0C55-45090949DA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431800</xdr:colOff>
      <xdr:row>327</xdr:row>
      <xdr:rowOff>0</xdr:rowOff>
    </xdr:from>
    <xdr:to>
      <xdr:col>22</xdr:col>
      <xdr:colOff>50800</xdr:colOff>
      <xdr:row>340</xdr:row>
      <xdr:rowOff>101600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B4D71DE-DBB3-57B3-7D48-F6A57616C7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533400</xdr:colOff>
      <xdr:row>377</xdr:row>
      <xdr:rowOff>0</xdr:rowOff>
    </xdr:from>
    <xdr:to>
      <xdr:col>18</xdr:col>
      <xdr:colOff>152400</xdr:colOff>
      <xdr:row>390</xdr:row>
      <xdr:rowOff>101600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73F924F-07A2-A29E-1A9D-12F03794A0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19</xdr:col>
      <xdr:colOff>393700</xdr:colOff>
      <xdr:row>469</xdr:row>
      <xdr:rowOff>114300</xdr:rowOff>
    </xdr:from>
    <xdr:to>
      <xdr:col>25</xdr:col>
      <xdr:colOff>12700</xdr:colOff>
      <xdr:row>483</xdr:row>
      <xdr:rowOff>12700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95485C1-880D-232C-3F1A-AFF044FCDE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50031-6F8B-354A-B5FF-1029C5DAFF4E}">
  <dimension ref="A3:AD596"/>
  <sheetViews>
    <sheetView tabSelected="1" topLeftCell="D97" zoomScale="75" workbookViewId="0">
      <selection activeCell="AB138" sqref="AB138"/>
    </sheetView>
  </sheetViews>
  <sheetFormatPr baseColWidth="10" defaultRowHeight="16" x14ac:dyDescent="0.2"/>
  <sheetData>
    <row r="3" spans="1:3" x14ac:dyDescent="0.2">
      <c r="A3" s="2"/>
    </row>
    <row r="4" spans="1:3" x14ac:dyDescent="0.2">
      <c r="A4" s="2"/>
    </row>
    <row r="7" spans="1:3" x14ac:dyDescent="0.2">
      <c r="A7" t="s">
        <v>2</v>
      </c>
    </row>
    <row r="8" spans="1:3" x14ac:dyDescent="0.2">
      <c r="A8" t="s">
        <v>0</v>
      </c>
      <c r="B8" t="s">
        <v>1</v>
      </c>
    </row>
    <row r="9" spans="1:3" x14ac:dyDescent="0.2">
      <c r="A9" s="2">
        <v>3.3329999999999999E-2</v>
      </c>
      <c r="B9">
        <v>-1.4450000000000001</v>
      </c>
    </row>
    <row r="10" spans="1:3" x14ac:dyDescent="0.2">
      <c r="A10" s="2">
        <v>6.6669999999999993E-2</v>
      </c>
      <c r="B10">
        <v>-1.758</v>
      </c>
      <c r="C10" s="2"/>
    </row>
    <row r="11" spans="1:3" x14ac:dyDescent="0.2">
      <c r="A11">
        <v>0.1</v>
      </c>
      <c r="B11">
        <v>-2.21</v>
      </c>
      <c r="C11" s="2"/>
    </row>
    <row r="12" spans="1:3" x14ac:dyDescent="0.2">
      <c r="A12">
        <v>0.13300000000000001</v>
      </c>
      <c r="B12">
        <v>-2.6030000000000002</v>
      </c>
      <c r="C12" s="2"/>
    </row>
    <row r="13" spans="1:3" x14ac:dyDescent="0.2">
      <c r="A13">
        <v>0.16700000000000001</v>
      </c>
      <c r="B13">
        <v>-2.9969999999999999</v>
      </c>
      <c r="C13" s="2"/>
    </row>
    <row r="14" spans="1:3" x14ac:dyDescent="0.2">
      <c r="A14">
        <v>0.2</v>
      </c>
      <c r="B14">
        <v>-3.2989999999999999</v>
      </c>
      <c r="C14" s="2"/>
    </row>
    <row r="15" spans="1:3" x14ac:dyDescent="0.2">
      <c r="A15">
        <v>0.23300000000000001</v>
      </c>
      <c r="B15">
        <v>-3.5720000000000001</v>
      </c>
      <c r="C15" s="2"/>
    </row>
    <row r="16" spans="1:3" x14ac:dyDescent="0.2">
      <c r="A16">
        <v>0.26700000000000002</v>
      </c>
      <c r="B16">
        <v>-3.988</v>
      </c>
      <c r="C16" s="2"/>
    </row>
    <row r="17" spans="1:12" x14ac:dyDescent="0.2">
      <c r="A17">
        <v>0.3</v>
      </c>
      <c r="B17">
        <v>-4.2910000000000004</v>
      </c>
      <c r="C17" s="2"/>
    </row>
    <row r="18" spans="1:12" x14ac:dyDescent="0.2">
      <c r="A18">
        <v>0.33300000000000002</v>
      </c>
      <c r="B18">
        <v>-4.5860000000000003</v>
      </c>
      <c r="C18" s="2"/>
    </row>
    <row r="19" spans="1:12" x14ac:dyDescent="0.2">
      <c r="A19">
        <v>0.36699999999999999</v>
      </c>
      <c r="B19">
        <v>-4.8959999999999999</v>
      </c>
      <c r="C19" s="2"/>
    </row>
    <row r="20" spans="1:12" x14ac:dyDescent="0.2">
      <c r="A20">
        <v>0.4</v>
      </c>
      <c r="B20">
        <v>-5.1689999999999996</v>
      </c>
      <c r="C20" s="2"/>
    </row>
    <row r="21" spans="1:12" x14ac:dyDescent="0.2">
      <c r="A21">
        <v>0.433</v>
      </c>
      <c r="B21">
        <v>-5.5090000000000003</v>
      </c>
      <c r="C21" s="2"/>
    </row>
    <row r="22" spans="1:12" x14ac:dyDescent="0.2">
      <c r="A22">
        <v>0.46700000000000003</v>
      </c>
      <c r="B22">
        <v>-5.7510000000000003</v>
      </c>
      <c r="C22" s="2"/>
    </row>
    <row r="23" spans="1:12" x14ac:dyDescent="0.2">
      <c r="A23">
        <v>0.5</v>
      </c>
      <c r="B23">
        <v>-6.0919999999999996</v>
      </c>
      <c r="C23" s="2"/>
      <c r="D23" s="1"/>
      <c r="L23" s="2"/>
    </row>
    <row r="24" spans="1:12" x14ac:dyDescent="0.2">
      <c r="A24">
        <v>0.53300000000000003</v>
      </c>
      <c r="B24">
        <v>-6.3869999999999996</v>
      </c>
      <c r="C24" s="2"/>
    </row>
    <row r="25" spans="1:12" x14ac:dyDescent="0.2">
      <c r="A25">
        <v>0.56699999999999995</v>
      </c>
      <c r="B25">
        <v>-6.7729999999999997</v>
      </c>
      <c r="C25" s="2"/>
    </row>
    <row r="26" spans="1:12" x14ac:dyDescent="0.2">
      <c r="A26">
        <v>0.6</v>
      </c>
      <c r="B26">
        <v>-7.0449999999999999</v>
      </c>
      <c r="C26" s="2"/>
    </row>
    <row r="35" spans="8:21" x14ac:dyDescent="0.2">
      <c r="T35" t="s">
        <v>3</v>
      </c>
    </row>
    <row r="36" spans="8:21" x14ac:dyDescent="0.2">
      <c r="T36" t="s">
        <v>0</v>
      </c>
      <c r="U36" t="s">
        <v>1</v>
      </c>
    </row>
    <row r="38" spans="8:21" x14ac:dyDescent="0.2">
      <c r="T38" s="2"/>
    </row>
    <row r="39" spans="8:21" x14ac:dyDescent="0.2">
      <c r="T39" s="2">
        <v>3.3329999999999999E-2</v>
      </c>
      <c r="U39">
        <v>-1.151</v>
      </c>
    </row>
    <row r="40" spans="8:21" x14ac:dyDescent="0.2">
      <c r="T40" s="2">
        <v>6.6669999999999993E-2</v>
      </c>
      <c r="U40">
        <v>-1.4630000000000001</v>
      </c>
    </row>
    <row r="41" spans="8:21" x14ac:dyDescent="0.2">
      <c r="T41">
        <v>0.1</v>
      </c>
      <c r="U41">
        <v>-1.833</v>
      </c>
    </row>
    <row r="42" spans="8:21" x14ac:dyDescent="0.2">
      <c r="T42">
        <v>0.13300000000000001</v>
      </c>
      <c r="U42">
        <v>-2.206</v>
      </c>
    </row>
    <row r="43" spans="8:21" x14ac:dyDescent="0.2">
      <c r="T43">
        <v>0.16700000000000001</v>
      </c>
      <c r="U43">
        <v>-2.5550000000000002</v>
      </c>
    </row>
    <row r="44" spans="8:21" x14ac:dyDescent="0.2">
      <c r="T44">
        <v>0.2</v>
      </c>
      <c r="U44">
        <v>-2.95</v>
      </c>
    </row>
    <row r="45" spans="8:21" x14ac:dyDescent="0.2">
      <c r="T45">
        <v>0.23300000000000001</v>
      </c>
      <c r="U45">
        <v>-3.2749999999999999</v>
      </c>
    </row>
    <row r="46" spans="8:21" x14ac:dyDescent="0.2">
      <c r="H46" s="2"/>
      <c r="T46">
        <v>0.26700000000000002</v>
      </c>
      <c r="U46">
        <v>-3.629</v>
      </c>
    </row>
    <row r="47" spans="8:21" x14ac:dyDescent="0.2">
      <c r="H47" s="2"/>
      <c r="L47" s="3"/>
      <c r="T47">
        <v>0.3</v>
      </c>
      <c r="U47">
        <v>-3.9129999999999998</v>
      </c>
    </row>
    <row r="48" spans="8:21" x14ac:dyDescent="0.2">
      <c r="T48">
        <v>0.33300000000000002</v>
      </c>
      <c r="U48">
        <v>-4.319</v>
      </c>
    </row>
    <row r="49" spans="1:21" x14ac:dyDescent="0.2">
      <c r="A49" t="s">
        <v>2</v>
      </c>
      <c r="T49">
        <v>0.36699999999999999</v>
      </c>
      <c r="U49">
        <v>-4.6660000000000004</v>
      </c>
    </row>
    <row r="50" spans="1:21" x14ac:dyDescent="0.2">
      <c r="A50" t="s">
        <v>0</v>
      </c>
      <c r="B50" t="s">
        <v>1</v>
      </c>
      <c r="L50" t="s">
        <v>3</v>
      </c>
      <c r="T50">
        <v>0.4</v>
      </c>
      <c r="U50">
        <v>-4.9180000000000001</v>
      </c>
    </row>
    <row r="51" spans="1:21" x14ac:dyDescent="0.2">
      <c r="A51" s="2">
        <v>3.3329999999999999E-2</v>
      </c>
      <c r="B51">
        <v>-1.514</v>
      </c>
      <c r="L51" t="s">
        <v>0</v>
      </c>
      <c r="M51" t="s">
        <v>1</v>
      </c>
      <c r="T51">
        <v>0.433</v>
      </c>
      <c r="U51">
        <v>-5.3079999999999998</v>
      </c>
    </row>
    <row r="52" spans="1:21" x14ac:dyDescent="0.2">
      <c r="A52" s="2">
        <v>6.6669999999999993E-2</v>
      </c>
      <c r="B52">
        <v>-1.8460000000000001</v>
      </c>
      <c r="L52">
        <v>0</v>
      </c>
      <c r="T52">
        <v>0.46700000000000003</v>
      </c>
      <c r="U52">
        <v>-5.6239999999999997</v>
      </c>
    </row>
    <row r="53" spans="1:21" x14ac:dyDescent="0.2">
      <c r="A53">
        <v>0.1</v>
      </c>
      <c r="B53">
        <v>-2.21</v>
      </c>
      <c r="L53" s="2">
        <v>3.3329999999999999E-2</v>
      </c>
      <c r="M53">
        <v>-1.1379999999999999</v>
      </c>
      <c r="O53" s="2">
        <f>L53*10</f>
        <v>0.33329999999999999</v>
      </c>
      <c r="T53">
        <v>0.5</v>
      </c>
      <c r="U53">
        <v>-5.9710000000000001</v>
      </c>
    </row>
    <row r="54" spans="1:21" x14ac:dyDescent="0.2">
      <c r="A54">
        <v>0.13300000000000001</v>
      </c>
      <c r="B54">
        <v>-2.6640000000000001</v>
      </c>
      <c r="L54" s="2">
        <v>6.6669999999999993E-2</v>
      </c>
      <c r="M54">
        <v>-1.474</v>
      </c>
      <c r="O54" s="2">
        <f>L54*10</f>
        <v>0.66669999999999996</v>
      </c>
      <c r="T54">
        <v>0.53300000000000003</v>
      </c>
      <c r="U54">
        <v>-6.3390000000000004</v>
      </c>
    </row>
    <row r="55" spans="1:21" x14ac:dyDescent="0.2">
      <c r="A55">
        <v>0.16700000000000001</v>
      </c>
      <c r="B55">
        <v>-2.9969999999999999</v>
      </c>
      <c r="L55">
        <v>0.1</v>
      </c>
      <c r="M55">
        <v>-1.8460000000000001</v>
      </c>
      <c r="O55" s="2">
        <f t="shared" ref="O55:O73" si="0">L55*10</f>
        <v>1</v>
      </c>
      <c r="T55">
        <v>0.56699999999999995</v>
      </c>
      <c r="U55">
        <v>-6.7290000000000001</v>
      </c>
    </row>
    <row r="56" spans="1:21" x14ac:dyDescent="0.2">
      <c r="A56">
        <v>0.2</v>
      </c>
      <c r="B56">
        <v>-3.2389999999999999</v>
      </c>
      <c r="L56">
        <v>0.13300000000000001</v>
      </c>
      <c r="M56">
        <v>-2.218</v>
      </c>
      <c r="O56" s="2">
        <f t="shared" si="0"/>
        <v>1.33</v>
      </c>
      <c r="T56">
        <v>0.6</v>
      </c>
      <c r="U56">
        <v>-7.0739999999999998</v>
      </c>
    </row>
    <row r="57" spans="1:21" x14ac:dyDescent="0.2">
      <c r="A57">
        <v>0.23300000000000001</v>
      </c>
      <c r="B57">
        <v>-3.5720000000000001</v>
      </c>
      <c r="L57">
        <v>0.16700000000000001</v>
      </c>
      <c r="M57">
        <v>-2.5720000000000001</v>
      </c>
      <c r="O57" s="2">
        <f t="shared" si="0"/>
        <v>1.6700000000000002</v>
      </c>
      <c r="T57">
        <v>0.63300000000000001</v>
      </c>
      <c r="U57">
        <v>-7.4379999999999997</v>
      </c>
    </row>
    <row r="58" spans="1:21" x14ac:dyDescent="0.2">
      <c r="A58">
        <v>0.26700000000000002</v>
      </c>
      <c r="B58">
        <v>-4.0490000000000004</v>
      </c>
      <c r="L58">
        <v>0.2</v>
      </c>
      <c r="M58">
        <v>-2.9609999999999999</v>
      </c>
      <c r="O58" s="2">
        <f t="shared" si="0"/>
        <v>2</v>
      </c>
    </row>
    <row r="59" spans="1:21" x14ac:dyDescent="0.2">
      <c r="A59">
        <v>0.3</v>
      </c>
      <c r="B59">
        <v>-4.3360000000000003</v>
      </c>
      <c r="L59">
        <v>0.23300000000000001</v>
      </c>
      <c r="M59">
        <v>-3.2749999999999999</v>
      </c>
      <c r="O59" s="2">
        <f t="shared" si="0"/>
        <v>2.33</v>
      </c>
    </row>
    <row r="60" spans="1:21" x14ac:dyDescent="0.2">
      <c r="A60">
        <v>0.33300000000000002</v>
      </c>
      <c r="B60">
        <v>-4.5860000000000003</v>
      </c>
      <c r="L60">
        <v>0.26700000000000002</v>
      </c>
      <c r="M60">
        <v>-3.5920000000000001</v>
      </c>
      <c r="O60" s="2">
        <f t="shared" si="0"/>
        <v>2.67</v>
      </c>
    </row>
    <row r="61" spans="1:21" x14ac:dyDescent="0.2">
      <c r="A61">
        <v>0.36699999999999999</v>
      </c>
      <c r="B61">
        <v>-4.8959999999999999</v>
      </c>
      <c r="L61">
        <v>0.3</v>
      </c>
      <c r="M61">
        <v>-3.976</v>
      </c>
      <c r="O61" s="2">
        <f t="shared" si="0"/>
        <v>3</v>
      </c>
    </row>
    <row r="62" spans="1:21" x14ac:dyDescent="0.2">
      <c r="A62">
        <v>0.4</v>
      </c>
      <c r="B62">
        <v>-5.1689999999999996</v>
      </c>
      <c r="L62">
        <v>0.33300000000000002</v>
      </c>
      <c r="M62">
        <v>-4.3049999999999997</v>
      </c>
      <c r="O62" s="2">
        <f t="shared" si="0"/>
        <v>3.33</v>
      </c>
    </row>
    <row r="63" spans="1:21" x14ac:dyDescent="0.2">
      <c r="A63">
        <v>0.433</v>
      </c>
      <c r="B63">
        <v>-5.5090000000000003</v>
      </c>
      <c r="L63">
        <v>0.36699999999999999</v>
      </c>
      <c r="M63">
        <v>-4.6340000000000003</v>
      </c>
      <c r="O63" s="2">
        <f t="shared" si="0"/>
        <v>3.67</v>
      </c>
    </row>
    <row r="64" spans="1:21" x14ac:dyDescent="0.2">
      <c r="A64">
        <v>0.46700000000000003</v>
      </c>
      <c r="B64">
        <v>-5.7510000000000003</v>
      </c>
      <c r="L64">
        <v>0.4</v>
      </c>
      <c r="M64">
        <v>-4.9690000000000003</v>
      </c>
      <c r="O64" s="2">
        <f t="shared" si="0"/>
        <v>4</v>
      </c>
    </row>
    <row r="65" spans="1:15" x14ac:dyDescent="0.2">
      <c r="A65">
        <v>0.5</v>
      </c>
      <c r="B65">
        <v>-6.0919999999999996</v>
      </c>
      <c r="L65">
        <v>0.433</v>
      </c>
      <c r="M65">
        <v>-5.2770000000000001</v>
      </c>
      <c r="O65" s="2">
        <f t="shared" si="0"/>
        <v>4.33</v>
      </c>
    </row>
    <row r="66" spans="1:15" x14ac:dyDescent="0.2">
      <c r="A66">
        <v>0.53300000000000003</v>
      </c>
      <c r="B66">
        <v>-6.3869999999999996</v>
      </c>
      <c r="L66">
        <v>0.46700000000000003</v>
      </c>
      <c r="M66">
        <v>-5.609</v>
      </c>
      <c r="O66" s="2">
        <f t="shared" si="0"/>
        <v>4.67</v>
      </c>
    </row>
    <row r="67" spans="1:15" x14ac:dyDescent="0.2">
      <c r="A67">
        <v>0.56699999999999995</v>
      </c>
      <c r="B67">
        <v>-6.6219999999999999</v>
      </c>
      <c r="L67">
        <v>0.5</v>
      </c>
      <c r="M67">
        <v>-5.9710000000000001</v>
      </c>
      <c r="O67" s="2">
        <f t="shared" si="0"/>
        <v>5</v>
      </c>
    </row>
    <row r="68" spans="1:15" x14ac:dyDescent="0.2">
      <c r="A68">
        <v>0.6</v>
      </c>
      <c r="B68">
        <v>-7.0449999999999999</v>
      </c>
      <c r="L68">
        <v>0.53300000000000003</v>
      </c>
      <c r="M68">
        <v>-6.3520000000000003</v>
      </c>
      <c r="O68" s="2">
        <f t="shared" si="0"/>
        <v>5.33</v>
      </c>
    </row>
    <row r="69" spans="1:15" x14ac:dyDescent="0.2">
      <c r="L69">
        <v>0.56699999999999995</v>
      </c>
      <c r="M69">
        <v>-6.7290000000000001</v>
      </c>
      <c r="O69" s="2">
        <f t="shared" si="0"/>
        <v>5.67</v>
      </c>
    </row>
    <row r="70" spans="1:15" x14ac:dyDescent="0.2">
      <c r="L70">
        <v>0.6</v>
      </c>
      <c r="M70">
        <v>-7.0759999999999996</v>
      </c>
      <c r="O70" s="2">
        <f t="shared" si="0"/>
        <v>6</v>
      </c>
    </row>
    <row r="71" spans="1:15" x14ac:dyDescent="0.2">
      <c r="L71">
        <v>0.63300000000000001</v>
      </c>
      <c r="M71">
        <v>-7.4379999999999997</v>
      </c>
      <c r="O71" s="2">
        <f t="shared" si="0"/>
        <v>6.33</v>
      </c>
    </row>
    <row r="72" spans="1:15" x14ac:dyDescent="0.2">
      <c r="L72">
        <v>0.66700000000000004</v>
      </c>
      <c r="M72">
        <v>-7.7430000000000003</v>
      </c>
      <c r="O72" s="2">
        <f t="shared" si="0"/>
        <v>6.67</v>
      </c>
    </row>
    <row r="73" spans="1:15" x14ac:dyDescent="0.2">
      <c r="L73">
        <v>0.7</v>
      </c>
      <c r="O73" s="2">
        <f t="shared" si="0"/>
        <v>7</v>
      </c>
    </row>
    <row r="116" spans="16:28" x14ac:dyDescent="0.2">
      <c r="P116" t="s">
        <v>2</v>
      </c>
    </row>
    <row r="117" spans="16:28" x14ac:dyDescent="0.2">
      <c r="P117" t="s">
        <v>0</v>
      </c>
      <c r="Q117" t="s">
        <v>1</v>
      </c>
    </row>
    <row r="118" spans="16:28" x14ac:dyDescent="0.2">
      <c r="P118" s="2">
        <v>3.3329999999999999E-2</v>
      </c>
      <c r="Q118">
        <v>-1.5289999999999999</v>
      </c>
      <c r="X118" t="s">
        <v>43</v>
      </c>
    </row>
    <row r="119" spans="16:28" x14ac:dyDescent="0.2">
      <c r="P119" s="2">
        <v>6.6669999999999993E-2</v>
      </c>
      <c r="Q119">
        <v>-1.877</v>
      </c>
      <c r="X119" t="s">
        <v>0</v>
      </c>
      <c r="Y119" t="s">
        <v>1</v>
      </c>
    </row>
    <row r="120" spans="16:28" x14ac:dyDescent="0.2">
      <c r="P120">
        <v>0.1</v>
      </c>
      <c r="Q120">
        <v>-2.1640000000000001</v>
      </c>
      <c r="X120" s="2">
        <v>3.3329999999999999E-2</v>
      </c>
      <c r="Y120">
        <v>-0.94799999999999995</v>
      </c>
    </row>
    <row r="121" spans="16:28" x14ac:dyDescent="0.2">
      <c r="P121">
        <v>0.13300000000000001</v>
      </c>
      <c r="Q121">
        <v>-2.5430000000000001</v>
      </c>
      <c r="X121" s="2">
        <v>6.6669999999999993E-2</v>
      </c>
      <c r="Y121">
        <v>-1.284</v>
      </c>
    </row>
    <row r="122" spans="16:28" x14ac:dyDescent="0.2">
      <c r="P122">
        <v>0.16700000000000001</v>
      </c>
      <c r="Q122">
        <v>-2.9060000000000001</v>
      </c>
      <c r="X122">
        <v>0.1</v>
      </c>
      <c r="Y122">
        <v>-1.492</v>
      </c>
      <c r="AA122" cm="1">
        <f t="array" ref="AA122:AB126">LINEST(Y120:Y139,X120:X139,1,1)</f>
        <v>-9.3735564782797987</v>
      </c>
      <c r="AB122">
        <v>-0.69775523260207084</v>
      </c>
    </row>
    <row r="123" spans="16:28" x14ac:dyDescent="0.2">
      <c r="P123">
        <v>0.2</v>
      </c>
      <c r="Q123">
        <v>-3.2690000000000001</v>
      </c>
      <c r="X123">
        <v>0.13300000000000001</v>
      </c>
      <c r="Y123">
        <v>-1.835</v>
      </c>
      <c r="AA123">
        <v>0.11093800299855398</v>
      </c>
      <c r="AB123">
        <v>4.4299030815179212E-2</v>
      </c>
    </row>
    <row r="124" spans="16:28" x14ac:dyDescent="0.2">
      <c r="P124">
        <v>0.23300000000000001</v>
      </c>
      <c r="Q124">
        <v>-3.6629999999999998</v>
      </c>
      <c r="X124">
        <v>0.16700000000000001</v>
      </c>
      <c r="Y124">
        <v>-2.278</v>
      </c>
      <c r="AA124">
        <v>0.99748504172845587</v>
      </c>
      <c r="AB124">
        <v>9.5369509674116421E-2</v>
      </c>
    </row>
    <row r="125" spans="16:28" x14ac:dyDescent="0.2">
      <c r="P125">
        <v>0.26700000000000002</v>
      </c>
      <c r="Q125">
        <v>-4.056</v>
      </c>
      <c r="X125">
        <v>0.2</v>
      </c>
      <c r="Y125">
        <v>-2.5990000000000002</v>
      </c>
      <c r="AA125">
        <v>7139.1764047395982</v>
      </c>
      <c r="AB125">
        <v>18</v>
      </c>
    </row>
    <row r="126" spans="16:28" x14ac:dyDescent="0.2">
      <c r="P126">
        <v>0.3</v>
      </c>
      <c r="Q126">
        <v>-4.298</v>
      </c>
      <c r="X126">
        <v>0.23300000000000001</v>
      </c>
      <c r="Y126">
        <v>-2.9350000000000001</v>
      </c>
      <c r="AA126">
        <v>64.933260819241326</v>
      </c>
      <c r="AB126">
        <v>0.16371618075866495</v>
      </c>
    </row>
    <row r="127" spans="16:28" x14ac:dyDescent="0.2">
      <c r="P127">
        <v>0.33300000000000002</v>
      </c>
      <c r="Q127">
        <v>-4.609</v>
      </c>
      <c r="X127">
        <v>0.26700000000000002</v>
      </c>
      <c r="Y127">
        <v>-3.302</v>
      </c>
    </row>
    <row r="128" spans="16:28" x14ac:dyDescent="0.2">
      <c r="P128">
        <v>0.36699999999999999</v>
      </c>
      <c r="Q128">
        <v>-4.9039999999999999</v>
      </c>
      <c r="X128">
        <v>0.3</v>
      </c>
      <c r="Y128">
        <v>-3.6389999999999998</v>
      </c>
    </row>
    <row r="129" spans="11:25" x14ac:dyDescent="0.2">
      <c r="P129">
        <v>0.4</v>
      </c>
      <c r="Q129">
        <v>-5.2060000000000004</v>
      </c>
      <c r="X129">
        <v>0.33300000000000002</v>
      </c>
      <c r="Y129">
        <v>-3.7909999999999999</v>
      </c>
    </row>
    <row r="130" spans="11:25" x14ac:dyDescent="0.2">
      <c r="K130">
        <v>0.66700000000000004</v>
      </c>
      <c r="L130">
        <v>-7.2549999999999999</v>
      </c>
      <c r="P130">
        <v>0.433</v>
      </c>
      <c r="Q130">
        <v>-5.5090000000000003</v>
      </c>
      <c r="X130">
        <v>0.36699999999999999</v>
      </c>
      <c r="Y130">
        <v>-4.1740000000000004</v>
      </c>
    </row>
    <row r="131" spans="11:25" x14ac:dyDescent="0.2">
      <c r="K131">
        <v>0.63300000000000001</v>
      </c>
      <c r="L131">
        <v>-6.992</v>
      </c>
      <c r="P131">
        <v>0.46700000000000003</v>
      </c>
      <c r="Q131">
        <v>-5.766</v>
      </c>
      <c r="X131">
        <v>0.4</v>
      </c>
      <c r="Y131">
        <v>-4.6319999999999997</v>
      </c>
    </row>
    <row r="132" spans="11:25" x14ac:dyDescent="0.2">
      <c r="K132">
        <v>0.6</v>
      </c>
      <c r="L132">
        <v>-6.657</v>
      </c>
      <c r="P132">
        <v>0.5</v>
      </c>
      <c r="Q132">
        <v>-6.0839999999999996</v>
      </c>
      <c r="S132" cm="1">
        <f t="array" ref="S132:T136">LINEST(Q118:Q135,P118:P135,1,1)</f>
        <v>-9.6381307842556705</v>
      </c>
      <c r="T132">
        <v>-1.3072030294301489</v>
      </c>
      <c r="X132">
        <v>0.433</v>
      </c>
      <c r="Y132">
        <v>-4.8620000000000001</v>
      </c>
    </row>
    <row r="133" spans="11:25" x14ac:dyDescent="0.2">
      <c r="K133">
        <v>0.56699999999999995</v>
      </c>
      <c r="L133">
        <v>-6.3280000000000003</v>
      </c>
      <c r="P133">
        <v>0.53300000000000003</v>
      </c>
      <c r="Q133">
        <v>-6.3339999999999996</v>
      </c>
      <c r="S133">
        <v>0.11795013638278978</v>
      </c>
      <c r="T133">
        <v>4.2558827001604772E-2</v>
      </c>
      <c r="X133">
        <v>0.46700000000000003</v>
      </c>
      <c r="Y133">
        <v>-5.0910000000000002</v>
      </c>
    </row>
    <row r="134" spans="11:25" x14ac:dyDescent="0.2">
      <c r="K134">
        <v>0.53300000000000003</v>
      </c>
      <c r="L134">
        <v>-6.01</v>
      </c>
      <c r="P134">
        <v>0.56699999999999995</v>
      </c>
      <c r="Q134">
        <v>-6.7050000000000001</v>
      </c>
      <c r="S134">
        <v>0.99760948311308417</v>
      </c>
      <c r="T134">
        <v>8.6550470936258644E-2</v>
      </c>
      <c r="X134">
        <v>0.5</v>
      </c>
      <c r="Y134">
        <v>-5.351</v>
      </c>
    </row>
    <row r="135" spans="11:25" x14ac:dyDescent="0.2">
      <c r="K135">
        <v>0.5</v>
      </c>
      <c r="L135">
        <v>-5.7519999999999998</v>
      </c>
      <c r="P135">
        <v>0.6</v>
      </c>
      <c r="Q135">
        <v>-7.0449999999999999</v>
      </c>
      <c r="S135">
        <v>6677.1131453509061</v>
      </c>
      <c r="T135">
        <v>16</v>
      </c>
      <c r="X135">
        <v>0.53300000000000003</v>
      </c>
      <c r="Y135">
        <v>-5.7030000000000003</v>
      </c>
    </row>
    <row r="136" spans="11:25" x14ac:dyDescent="0.2">
      <c r="K136">
        <v>0.46700000000000003</v>
      </c>
      <c r="L136">
        <v>-5.5060000000000002</v>
      </c>
      <c r="S136">
        <v>50.018147866802487</v>
      </c>
      <c r="T136">
        <v>0.11985574430861044</v>
      </c>
      <c r="X136">
        <v>0.56699999999999995</v>
      </c>
      <c r="Y136">
        <v>-6.0389999999999997</v>
      </c>
    </row>
    <row r="137" spans="11:25" x14ac:dyDescent="0.2">
      <c r="K137">
        <v>0.433</v>
      </c>
      <c r="L137">
        <v>-5.1870000000000003</v>
      </c>
      <c r="X137">
        <v>0.6</v>
      </c>
      <c r="Y137">
        <v>-6.3289999999999997</v>
      </c>
    </row>
    <row r="138" spans="11:25" x14ac:dyDescent="0.2">
      <c r="K138">
        <v>0.4</v>
      </c>
      <c r="L138">
        <v>-4.9160000000000004</v>
      </c>
      <c r="X138">
        <v>0.63300000000000001</v>
      </c>
      <c r="Y138">
        <v>-6.452</v>
      </c>
    </row>
    <row r="139" spans="11:25" x14ac:dyDescent="0.2">
      <c r="K139">
        <v>0.36699999999999999</v>
      </c>
      <c r="L139">
        <v>-4.5919999999999996</v>
      </c>
      <c r="X139">
        <v>0.66700000000000004</v>
      </c>
      <c r="Y139">
        <v>-6.8339999999999996</v>
      </c>
    </row>
    <row r="140" spans="11:25" x14ac:dyDescent="0.2">
      <c r="K140">
        <v>0.33300000000000002</v>
      </c>
      <c r="L140">
        <v>-4.3209999999999997</v>
      </c>
    </row>
    <row r="141" spans="11:25" x14ac:dyDescent="0.2">
      <c r="K141">
        <v>0.3</v>
      </c>
      <c r="L141">
        <v>-3.9990000000000001</v>
      </c>
    </row>
    <row r="142" spans="11:25" x14ac:dyDescent="0.2">
      <c r="K142">
        <v>0.26700000000000002</v>
      </c>
      <c r="L142">
        <v>-3.6219999999999999</v>
      </c>
    </row>
    <row r="143" spans="11:25" x14ac:dyDescent="0.2">
      <c r="K143">
        <v>0.23300000000000001</v>
      </c>
      <c r="L143">
        <v>-3.2789999999999999</v>
      </c>
    </row>
    <row r="144" spans="11:25" x14ac:dyDescent="0.2">
      <c r="K144">
        <v>0.2</v>
      </c>
      <c r="L144">
        <v>-2.8980000000000001</v>
      </c>
    </row>
    <row r="145" spans="11:12" x14ac:dyDescent="0.2">
      <c r="K145">
        <v>0.16700000000000001</v>
      </c>
      <c r="L145">
        <v>-2.5569999999999999</v>
      </c>
    </row>
    <row r="146" spans="11:12" x14ac:dyDescent="0.2">
      <c r="K146">
        <v>0.13300000000000001</v>
      </c>
      <c r="L146">
        <v>-2.1970000000000001</v>
      </c>
    </row>
    <row r="147" spans="11:12" x14ac:dyDescent="0.2">
      <c r="K147">
        <v>0.1</v>
      </c>
      <c r="L147">
        <v>-1.835</v>
      </c>
    </row>
    <row r="148" spans="11:12" x14ac:dyDescent="0.2">
      <c r="K148" s="2">
        <v>6.6669999999999993E-2</v>
      </c>
      <c r="L148">
        <v>-1.496</v>
      </c>
    </row>
    <row r="149" spans="11:12" x14ac:dyDescent="0.2">
      <c r="K149" s="2">
        <v>3.3329999999999999E-2</v>
      </c>
      <c r="L149">
        <v>-1.1599999999999999</v>
      </c>
    </row>
    <row r="181" spans="20:21" x14ac:dyDescent="0.2">
      <c r="T181" t="s">
        <v>3</v>
      </c>
    </row>
    <row r="182" spans="20:21" x14ac:dyDescent="0.2">
      <c r="T182" t="s">
        <v>0</v>
      </c>
      <c r="U182" t="s">
        <v>1</v>
      </c>
    </row>
    <row r="183" spans="20:21" x14ac:dyDescent="0.2">
      <c r="T183" s="2">
        <v>3.3329999999999999E-2</v>
      </c>
      <c r="U183">
        <v>-1.1599999999999999</v>
      </c>
    </row>
    <row r="184" spans="20:21" x14ac:dyDescent="0.2">
      <c r="T184" s="2">
        <v>6.6669999999999993E-2</v>
      </c>
      <c r="U184">
        <v>-1.496</v>
      </c>
    </row>
    <row r="185" spans="20:21" x14ac:dyDescent="0.2">
      <c r="T185">
        <v>0.1</v>
      </c>
      <c r="U185">
        <v>-1.835</v>
      </c>
    </row>
    <row r="186" spans="20:21" x14ac:dyDescent="0.2">
      <c r="T186">
        <v>0.13300000000000001</v>
      </c>
      <c r="U186">
        <v>-2.1970000000000001</v>
      </c>
    </row>
    <row r="187" spans="20:21" x14ac:dyDescent="0.2">
      <c r="T187">
        <v>0.16700000000000001</v>
      </c>
      <c r="U187">
        <v>-2.5569999999999999</v>
      </c>
    </row>
    <row r="188" spans="20:21" x14ac:dyDescent="0.2">
      <c r="T188">
        <v>0.2</v>
      </c>
      <c r="U188">
        <v>-2.8980000000000001</v>
      </c>
    </row>
    <row r="189" spans="20:21" x14ac:dyDescent="0.2">
      <c r="T189">
        <v>0.23300000000000001</v>
      </c>
      <c r="U189">
        <v>-3.2789999999999999</v>
      </c>
    </row>
    <row r="190" spans="20:21" x14ac:dyDescent="0.2">
      <c r="T190">
        <v>0.26700000000000002</v>
      </c>
      <c r="U190">
        <v>-3.6219999999999999</v>
      </c>
    </row>
    <row r="191" spans="20:21" x14ac:dyDescent="0.2">
      <c r="T191">
        <v>0.3</v>
      </c>
      <c r="U191">
        <v>-3.9990000000000001</v>
      </c>
    </row>
    <row r="192" spans="20:21" x14ac:dyDescent="0.2">
      <c r="T192">
        <v>0.33300000000000002</v>
      </c>
      <c r="U192">
        <v>-4.3209999999999997</v>
      </c>
    </row>
    <row r="193" spans="18:21" x14ac:dyDescent="0.2">
      <c r="T193">
        <v>0.36699999999999999</v>
      </c>
      <c r="U193">
        <v>-4.5919999999999996</v>
      </c>
    </row>
    <row r="194" spans="18:21" x14ac:dyDescent="0.2">
      <c r="T194">
        <v>0.4</v>
      </c>
      <c r="U194">
        <v>-4.9160000000000004</v>
      </c>
    </row>
    <row r="195" spans="18:21" x14ac:dyDescent="0.2">
      <c r="T195">
        <v>0.433</v>
      </c>
      <c r="U195">
        <v>-5.1870000000000003</v>
      </c>
    </row>
    <row r="196" spans="18:21" x14ac:dyDescent="0.2">
      <c r="T196">
        <v>0.46700000000000003</v>
      </c>
      <c r="U196">
        <v>-5.5060000000000002</v>
      </c>
    </row>
    <row r="197" spans="18:21" x14ac:dyDescent="0.2">
      <c r="T197">
        <v>0.5</v>
      </c>
      <c r="U197">
        <v>-5.7720000000000002</v>
      </c>
    </row>
    <row r="198" spans="18:21" x14ac:dyDescent="0.2">
      <c r="T198">
        <v>0.53300000000000003</v>
      </c>
      <c r="U198">
        <v>-6.01</v>
      </c>
    </row>
    <row r="199" spans="18:21" x14ac:dyDescent="0.2">
      <c r="T199">
        <v>0.56699999999999995</v>
      </c>
      <c r="U199">
        <v>-6.3289999999999997</v>
      </c>
    </row>
    <row r="200" spans="18:21" x14ac:dyDescent="0.2">
      <c r="T200">
        <v>0.6</v>
      </c>
      <c r="U200">
        <v>-6.657</v>
      </c>
    </row>
    <row r="201" spans="18:21" x14ac:dyDescent="0.2">
      <c r="T201">
        <v>0.63300000000000001</v>
      </c>
      <c r="U201">
        <v>-6.9710000000000001</v>
      </c>
    </row>
    <row r="202" spans="18:21" x14ac:dyDescent="0.2">
      <c r="T202">
        <v>0.66700000000000004</v>
      </c>
      <c r="U202">
        <v>-7.2549999999999999</v>
      </c>
    </row>
    <row r="206" spans="18:21" x14ac:dyDescent="0.2">
      <c r="R206" t="s">
        <v>3</v>
      </c>
    </row>
    <row r="207" spans="18:21" x14ac:dyDescent="0.2">
      <c r="R207" t="s">
        <v>0</v>
      </c>
      <c r="S207" t="s">
        <v>1</v>
      </c>
    </row>
    <row r="208" spans="18:21" x14ac:dyDescent="0.2">
      <c r="R208" s="2">
        <v>3.3329999999999999E-2</v>
      </c>
      <c r="S208">
        <v>-1.1599999999999999</v>
      </c>
    </row>
    <row r="209" spans="18:19" x14ac:dyDescent="0.2">
      <c r="R209" s="2">
        <v>6.6669999999999993E-2</v>
      </c>
      <c r="S209">
        <v>-1.496</v>
      </c>
    </row>
    <row r="210" spans="18:19" x14ac:dyDescent="0.2">
      <c r="R210">
        <v>0.1</v>
      </c>
      <c r="S210">
        <v>-1.835</v>
      </c>
    </row>
    <row r="211" spans="18:19" x14ac:dyDescent="0.2">
      <c r="R211">
        <v>0.13300000000000001</v>
      </c>
      <c r="S211">
        <v>-2.1970000000000001</v>
      </c>
    </row>
    <row r="212" spans="18:19" x14ac:dyDescent="0.2">
      <c r="R212">
        <v>0.16700000000000001</v>
      </c>
      <c r="S212">
        <v>-2.5569999999999999</v>
      </c>
    </row>
    <row r="213" spans="18:19" x14ac:dyDescent="0.2">
      <c r="R213">
        <v>0.2</v>
      </c>
      <c r="S213">
        <v>-2.8980000000000001</v>
      </c>
    </row>
    <row r="214" spans="18:19" x14ac:dyDescent="0.2">
      <c r="R214">
        <v>0.23300000000000001</v>
      </c>
      <c r="S214">
        <v>-3.2789999999999999</v>
      </c>
    </row>
    <row r="215" spans="18:19" x14ac:dyDescent="0.2">
      <c r="R215">
        <v>0.26700000000000002</v>
      </c>
      <c r="S215">
        <v>-3.6219999999999999</v>
      </c>
    </row>
    <row r="216" spans="18:19" x14ac:dyDescent="0.2">
      <c r="R216">
        <v>0.3</v>
      </c>
      <c r="S216">
        <v>-3.9990000000000001</v>
      </c>
    </row>
    <row r="217" spans="18:19" x14ac:dyDescent="0.2">
      <c r="R217">
        <v>0.33300000000000002</v>
      </c>
      <c r="S217">
        <v>-4.3209999999999997</v>
      </c>
    </row>
    <row r="218" spans="18:19" x14ac:dyDescent="0.2">
      <c r="R218">
        <v>0.36699999999999999</v>
      </c>
      <c r="S218">
        <v>-4.5919999999999996</v>
      </c>
    </row>
    <row r="219" spans="18:19" x14ac:dyDescent="0.2">
      <c r="R219">
        <v>0.4</v>
      </c>
      <c r="S219">
        <v>-4.9160000000000004</v>
      </c>
    </row>
    <row r="220" spans="18:19" x14ac:dyDescent="0.2">
      <c r="R220">
        <v>0.433</v>
      </c>
      <c r="S220">
        <v>-5.1870000000000003</v>
      </c>
    </row>
    <row r="221" spans="18:19" x14ac:dyDescent="0.2">
      <c r="R221">
        <v>0.46700000000000003</v>
      </c>
      <c r="S221">
        <v>-5.5060000000000002</v>
      </c>
    </row>
    <row r="222" spans="18:19" x14ac:dyDescent="0.2">
      <c r="R222">
        <v>0.5</v>
      </c>
      <c r="S222">
        <v>-5.7519999999999998</v>
      </c>
    </row>
    <row r="223" spans="18:19" x14ac:dyDescent="0.2">
      <c r="R223">
        <v>0.53300000000000003</v>
      </c>
      <c r="S223">
        <v>-6.01</v>
      </c>
    </row>
    <row r="224" spans="18:19" x14ac:dyDescent="0.2">
      <c r="R224">
        <v>0.56699999999999995</v>
      </c>
      <c r="S224">
        <v>-6.3280000000000003</v>
      </c>
    </row>
    <row r="225" spans="18:19" x14ac:dyDescent="0.2">
      <c r="R225">
        <v>0.6</v>
      </c>
      <c r="S225">
        <v>-6.657</v>
      </c>
    </row>
    <row r="226" spans="18:19" x14ac:dyDescent="0.2">
      <c r="R226">
        <v>0.63300000000000001</v>
      </c>
      <c r="S226">
        <v>-6.992</v>
      </c>
    </row>
    <row r="227" spans="18:19" x14ac:dyDescent="0.2">
      <c r="R227">
        <v>0.66700000000000004</v>
      </c>
      <c r="S227">
        <v>-7.2549999999999999</v>
      </c>
    </row>
    <row r="248" spans="16:17" x14ac:dyDescent="0.2">
      <c r="P248" t="s">
        <v>64</v>
      </c>
    </row>
    <row r="249" spans="16:17" x14ac:dyDescent="0.2">
      <c r="P249" t="s">
        <v>0</v>
      </c>
      <c r="Q249" t="s">
        <v>1</v>
      </c>
    </row>
    <row r="250" spans="16:17" x14ac:dyDescent="0.2">
      <c r="P250" s="2">
        <v>3.3360000000000001E-2</v>
      </c>
      <c r="Q250">
        <v>-0.93200000000000005</v>
      </c>
    </row>
    <row r="251" spans="16:17" x14ac:dyDescent="0.2">
      <c r="P251" s="2">
        <v>6.6720000000000002E-2</v>
      </c>
      <c r="Q251">
        <v>-1.2869999999999999</v>
      </c>
    </row>
    <row r="252" spans="16:17" x14ac:dyDescent="0.2">
      <c r="P252">
        <v>0.1</v>
      </c>
      <c r="Q252">
        <v>-1.716</v>
      </c>
    </row>
    <row r="253" spans="16:17" x14ac:dyDescent="0.2">
      <c r="P253">
        <v>0.13300000000000001</v>
      </c>
      <c r="Q253">
        <v>-2.0270000000000001</v>
      </c>
    </row>
    <row r="254" spans="16:17" x14ac:dyDescent="0.2">
      <c r="P254">
        <v>0.16700000000000001</v>
      </c>
      <c r="Q254">
        <v>-2.3530000000000002</v>
      </c>
    </row>
    <row r="255" spans="16:17" x14ac:dyDescent="0.2">
      <c r="P255">
        <v>0.2</v>
      </c>
      <c r="Q255">
        <v>-2.7370000000000001</v>
      </c>
    </row>
    <row r="256" spans="16:17" x14ac:dyDescent="0.2">
      <c r="P256">
        <v>0.23400000000000001</v>
      </c>
      <c r="Q256">
        <v>-3.0630000000000002</v>
      </c>
    </row>
    <row r="257" spans="16:17" x14ac:dyDescent="0.2">
      <c r="P257">
        <v>0.26700000000000002</v>
      </c>
      <c r="Q257">
        <v>-3.3879999999999999</v>
      </c>
    </row>
    <row r="258" spans="16:17" x14ac:dyDescent="0.2">
      <c r="P258">
        <v>0.3</v>
      </c>
      <c r="Q258">
        <v>-3.7440000000000002</v>
      </c>
    </row>
    <row r="259" spans="16:17" x14ac:dyDescent="0.2">
      <c r="P259">
        <v>0.33400000000000002</v>
      </c>
      <c r="Q259">
        <v>-4.0990000000000002</v>
      </c>
    </row>
    <row r="260" spans="16:17" x14ac:dyDescent="0.2">
      <c r="P260">
        <v>0.36699999999999999</v>
      </c>
      <c r="Q260">
        <v>-4.4089999999999998</v>
      </c>
    </row>
    <row r="261" spans="16:17" x14ac:dyDescent="0.2">
      <c r="P261">
        <v>0.4</v>
      </c>
      <c r="Q261">
        <v>-4.6900000000000004</v>
      </c>
    </row>
    <row r="262" spans="16:17" x14ac:dyDescent="0.2">
      <c r="P262">
        <v>0.434</v>
      </c>
      <c r="Q262">
        <v>-4.9859999999999998</v>
      </c>
    </row>
    <row r="263" spans="16:17" x14ac:dyDescent="0.2">
      <c r="P263">
        <v>0.46700000000000003</v>
      </c>
      <c r="Q263">
        <v>-5.2380000000000004</v>
      </c>
    </row>
    <row r="264" spans="16:17" x14ac:dyDescent="0.2">
      <c r="P264">
        <v>0.5</v>
      </c>
      <c r="Q264">
        <v>-5.5490000000000004</v>
      </c>
    </row>
    <row r="265" spans="16:17" x14ac:dyDescent="0.2">
      <c r="P265">
        <v>0.53400000000000003</v>
      </c>
      <c r="Q265">
        <v>-5.9039999999999999</v>
      </c>
    </row>
    <row r="266" spans="16:17" x14ac:dyDescent="0.2">
      <c r="P266">
        <v>0.56699999999999995</v>
      </c>
      <c r="Q266">
        <v>-6.17</v>
      </c>
    </row>
    <row r="267" spans="16:17" x14ac:dyDescent="0.2">
      <c r="P267">
        <v>0.6</v>
      </c>
      <c r="Q267">
        <v>-6.4660000000000002</v>
      </c>
    </row>
    <row r="268" spans="16:17" x14ac:dyDescent="0.2">
      <c r="P268">
        <v>0.63400000000000001</v>
      </c>
      <c r="Q268">
        <v>-6.7030000000000003</v>
      </c>
    </row>
    <row r="285" spans="12:13" x14ac:dyDescent="0.2">
      <c r="L285" t="s">
        <v>65</v>
      </c>
    </row>
    <row r="286" spans="12:13" x14ac:dyDescent="0.2">
      <c r="L286" t="s">
        <v>0</v>
      </c>
      <c r="M286" t="s">
        <v>1</v>
      </c>
    </row>
    <row r="287" spans="12:13" x14ac:dyDescent="0.2">
      <c r="L287" s="2">
        <v>3.3360000000000001E-2</v>
      </c>
      <c r="M287">
        <v>-0.99099999999999999</v>
      </c>
    </row>
    <row r="288" spans="12:13" x14ac:dyDescent="0.2">
      <c r="L288" s="2">
        <v>6.6720000000000002E-2</v>
      </c>
      <c r="M288">
        <v>-1.3320000000000001</v>
      </c>
    </row>
    <row r="289" spans="12:13" x14ac:dyDescent="0.2">
      <c r="L289">
        <v>0.1</v>
      </c>
      <c r="M289">
        <v>-1.6870000000000001</v>
      </c>
    </row>
    <row r="290" spans="12:13" x14ac:dyDescent="0.2">
      <c r="L290">
        <v>0.13300000000000001</v>
      </c>
      <c r="M290">
        <v>-1.998</v>
      </c>
    </row>
    <row r="291" spans="12:13" x14ac:dyDescent="0.2">
      <c r="L291">
        <v>0.16700000000000001</v>
      </c>
      <c r="M291">
        <v>-2.3380000000000001</v>
      </c>
    </row>
    <row r="292" spans="12:13" x14ac:dyDescent="0.2">
      <c r="L292">
        <v>0.2</v>
      </c>
      <c r="M292">
        <v>-2.7080000000000002</v>
      </c>
    </row>
    <row r="293" spans="12:13" x14ac:dyDescent="0.2">
      <c r="L293">
        <v>0.23400000000000001</v>
      </c>
      <c r="M293">
        <v>-3.004</v>
      </c>
    </row>
    <row r="294" spans="12:13" x14ac:dyDescent="0.2">
      <c r="L294">
        <v>0.26700000000000002</v>
      </c>
      <c r="M294">
        <v>-3.3140000000000001</v>
      </c>
    </row>
    <row r="295" spans="12:13" x14ac:dyDescent="0.2">
      <c r="L295">
        <v>0.3</v>
      </c>
      <c r="M295">
        <v>-3.6989999999999998</v>
      </c>
    </row>
    <row r="296" spans="12:13" x14ac:dyDescent="0.2">
      <c r="L296">
        <v>0.33400000000000002</v>
      </c>
      <c r="M296">
        <v>-4.0389999999999997</v>
      </c>
    </row>
    <row r="297" spans="12:13" x14ac:dyDescent="0.2">
      <c r="L297">
        <v>0.36699999999999999</v>
      </c>
      <c r="M297">
        <v>-4.335</v>
      </c>
    </row>
    <row r="298" spans="12:13" x14ac:dyDescent="0.2">
      <c r="L298">
        <v>0.4</v>
      </c>
      <c r="M298">
        <v>-4.6020000000000003</v>
      </c>
    </row>
    <row r="299" spans="12:13" x14ac:dyDescent="0.2">
      <c r="L299">
        <v>0.434</v>
      </c>
      <c r="M299">
        <v>-4.8239999999999998</v>
      </c>
    </row>
    <row r="300" spans="12:13" x14ac:dyDescent="0.2">
      <c r="L300">
        <v>0.46700000000000003</v>
      </c>
      <c r="M300">
        <v>-5.0750000000000002</v>
      </c>
    </row>
    <row r="301" spans="12:13" x14ac:dyDescent="0.2">
      <c r="L301">
        <v>0.5</v>
      </c>
      <c r="M301">
        <v>-5.3860000000000001</v>
      </c>
    </row>
    <row r="302" spans="12:13" x14ac:dyDescent="0.2">
      <c r="L302">
        <v>0.53400000000000003</v>
      </c>
      <c r="M302">
        <v>-5.7409999999999997</v>
      </c>
    </row>
    <row r="303" spans="12:13" x14ac:dyDescent="0.2">
      <c r="L303">
        <v>0.56699999999999995</v>
      </c>
      <c r="M303">
        <v>-6.0220000000000002</v>
      </c>
    </row>
    <row r="304" spans="12:13" x14ac:dyDescent="0.2">
      <c r="L304">
        <v>0.6</v>
      </c>
      <c r="M304">
        <v>-6.274</v>
      </c>
    </row>
    <row r="305" spans="12:13" x14ac:dyDescent="0.2">
      <c r="L305">
        <v>0.63400000000000001</v>
      </c>
      <c r="M305">
        <v>-6.54</v>
      </c>
    </row>
    <row r="306" spans="12:13" x14ac:dyDescent="0.2">
      <c r="L306">
        <v>0.66700000000000004</v>
      </c>
      <c r="M306">
        <v>-6.7320000000000002</v>
      </c>
    </row>
    <row r="328" spans="25:26" x14ac:dyDescent="0.2">
      <c r="Y328" t="s">
        <v>66</v>
      </c>
    </row>
    <row r="329" spans="25:26" x14ac:dyDescent="0.2">
      <c r="Y329" t="s">
        <v>0</v>
      </c>
      <c r="Z329" t="s">
        <v>1</v>
      </c>
    </row>
    <row r="330" spans="25:26" x14ac:dyDescent="0.2">
      <c r="Y330" s="2">
        <v>3.3329999999999999E-2</v>
      </c>
      <c r="Z330">
        <v>-1.6830000000000001</v>
      </c>
    </row>
    <row r="331" spans="25:26" x14ac:dyDescent="0.2">
      <c r="Y331" s="2">
        <v>6.6669999999999993E-2</v>
      </c>
      <c r="Z331">
        <v>-2.0259999999999998</v>
      </c>
    </row>
    <row r="332" spans="25:26" x14ac:dyDescent="0.2">
      <c r="Y332">
        <v>0.1</v>
      </c>
      <c r="Z332">
        <v>-2.3980000000000001</v>
      </c>
    </row>
    <row r="333" spans="25:26" x14ac:dyDescent="0.2">
      <c r="Y333">
        <v>0.13300000000000001</v>
      </c>
      <c r="Z333">
        <v>-2.7109999999999999</v>
      </c>
    </row>
    <row r="334" spans="25:26" x14ac:dyDescent="0.2">
      <c r="Y334">
        <v>0.16700000000000001</v>
      </c>
      <c r="Z334">
        <v>-3.0539999999999998</v>
      </c>
    </row>
    <row r="335" spans="25:26" x14ac:dyDescent="0.2">
      <c r="Y335">
        <v>0.2</v>
      </c>
      <c r="Z335">
        <v>-3.4260000000000002</v>
      </c>
    </row>
    <row r="336" spans="25:26" x14ac:dyDescent="0.2">
      <c r="Y336">
        <v>0.23300000000000001</v>
      </c>
      <c r="Z336">
        <v>-3.7240000000000002</v>
      </c>
    </row>
    <row r="337" spans="25:26" x14ac:dyDescent="0.2">
      <c r="Y337">
        <v>0.26700000000000002</v>
      </c>
      <c r="Z337">
        <v>-4.0069999999999997</v>
      </c>
    </row>
    <row r="338" spans="25:26" x14ac:dyDescent="0.2">
      <c r="Y338">
        <v>0.3</v>
      </c>
      <c r="Z338">
        <v>-4.335</v>
      </c>
    </row>
    <row r="339" spans="25:26" x14ac:dyDescent="0.2">
      <c r="Y339">
        <v>0.33300000000000002</v>
      </c>
      <c r="Z339">
        <v>-4.5880000000000001</v>
      </c>
    </row>
    <row r="340" spans="25:26" x14ac:dyDescent="0.2">
      <c r="Y340">
        <v>0.36699999999999999</v>
      </c>
      <c r="Z340">
        <v>-4.8410000000000002</v>
      </c>
    </row>
    <row r="341" spans="25:26" x14ac:dyDescent="0.2">
      <c r="Y341">
        <v>0.4</v>
      </c>
      <c r="Z341">
        <v>-5.1539999999999999</v>
      </c>
    </row>
    <row r="342" spans="25:26" x14ac:dyDescent="0.2">
      <c r="Y342">
        <v>0.433</v>
      </c>
      <c r="Z342">
        <v>-5.407</v>
      </c>
    </row>
    <row r="343" spans="25:26" x14ac:dyDescent="0.2">
      <c r="Y343">
        <v>0.46700000000000003</v>
      </c>
      <c r="Z343">
        <v>-5.6159999999999997</v>
      </c>
    </row>
    <row r="344" spans="25:26" x14ac:dyDescent="0.2">
      <c r="Y344">
        <v>0.5</v>
      </c>
      <c r="Z344">
        <v>-5.8840000000000003</v>
      </c>
    </row>
    <row r="345" spans="25:26" x14ac:dyDescent="0.2">
      <c r="Y345">
        <v>0.53300000000000003</v>
      </c>
      <c r="Z345">
        <v>-6.2119999999999997</v>
      </c>
    </row>
    <row r="346" spans="25:26" x14ac:dyDescent="0.2">
      <c r="Y346">
        <v>0.56699999999999995</v>
      </c>
      <c r="Z346">
        <v>-6.39</v>
      </c>
    </row>
    <row r="347" spans="25:26" x14ac:dyDescent="0.2">
      <c r="Y347">
        <v>0.6</v>
      </c>
      <c r="Z347">
        <v>-6.6139999999999999</v>
      </c>
    </row>
    <row r="348" spans="25:26" x14ac:dyDescent="0.2">
      <c r="Y348">
        <v>0.63300000000000001</v>
      </c>
      <c r="Z348">
        <v>-6.7480000000000002</v>
      </c>
    </row>
    <row r="380" spans="21:25" x14ac:dyDescent="0.2">
      <c r="U380" t="s">
        <v>67</v>
      </c>
    </row>
    <row r="381" spans="21:25" x14ac:dyDescent="0.2">
      <c r="U381" t="s">
        <v>0</v>
      </c>
      <c r="V381" t="s">
        <v>1</v>
      </c>
    </row>
    <row r="382" spans="21:25" x14ac:dyDescent="0.2">
      <c r="U382" s="2">
        <v>3.3329999999999999E-2</v>
      </c>
      <c r="V382">
        <v>-1.752</v>
      </c>
    </row>
    <row r="383" spans="21:25" x14ac:dyDescent="0.2">
      <c r="U383" s="2">
        <v>6.6669999999999993E-2</v>
      </c>
      <c r="V383">
        <v>-2.097</v>
      </c>
      <c r="X383" cm="1">
        <f t="array" ref="X383:Y387">LINEST(V382:V400,U382:U400,1,1)</f>
        <v>-8.865992176023175</v>
      </c>
      <c r="Y383">
        <v>-1.5955090289076437</v>
      </c>
    </row>
    <row r="384" spans="21:25" x14ac:dyDescent="0.2">
      <c r="U384">
        <v>0.1</v>
      </c>
      <c r="V384">
        <v>-2.4689999999999999</v>
      </c>
      <c r="X384">
        <v>0.1341719358490906</v>
      </c>
      <c r="Y384">
        <v>5.0990304367568781E-2</v>
      </c>
    </row>
    <row r="385" spans="21:25" x14ac:dyDescent="0.2">
      <c r="U385">
        <v>0.13300000000000001</v>
      </c>
      <c r="V385">
        <v>-2.7610000000000001</v>
      </c>
      <c r="X385">
        <v>0.99612180134885275</v>
      </c>
      <c r="Y385">
        <v>0.10676966334796568</v>
      </c>
    </row>
    <row r="386" spans="21:25" x14ac:dyDescent="0.2">
      <c r="U386">
        <v>0.16700000000000001</v>
      </c>
      <c r="V386">
        <v>-3.0529999999999999</v>
      </c>
      <c r="X386">
        <v>4366.4783953036613</v>
      </c>
      <c r="Y386">
        <v>17</v>
      </c>
    </row>
    <row r="387" spans="21:25" x14ac:dyDescent="0.2">
      <c r="U387">
        <v>0.2</v>
      </c>
      <c r="V387">
        <v>-3.4249999999999998</v>
      </c>
      <c r="X387">
        <v>49.776810168068728</v>
      </c>
      <c r="Y387">
        <v>0.1937959371944448</v>
      </c>
    </row>
    <row r="388" spans="21:25" x14ac:dyDescent="0.2">
      <c r="U388">
        <v>0.23300000000000001</v>
      </c>
      <c r="V388">
        <v>-3.7959999999999998</v>
      </c>
    </row>
    <row r="389" spans="21:25" x14ac:dyDescent="0.2">
      <c r="U389">
        <v>0.26700000000000002</v>
      </c>
      <c r="V389">
        <v>-4.0880000000000001</v>
      </c>
    </row>
    <row r="390" spans="21:25" x14ac:dyDescent="0.2">
      <c r="U390">
        <v>0.3</v>
      </c>
      <c r="V390">
        <v>-4.3540000000000001</v>
      </c>
    </row>
    <row r="391" spans="21:25" x14ac:dyDescent="0.2">
      <c r="U391">
        <v>0.33300000000000002</v>
      </c>
      <c r="V391">
        <v>-4.6189999999999998</v>
      </c>
    </row>
    <row r="392" spans="21:25" x14ac:dyDescent="0.2">
      <c r="U392">
        <v>0.36699999999999999</v>
      </c>
      <c r="V392">
        <v>-4.9640000000000004</v>
      </c>
    </row>
    <row r="393" spans="21:25" x14ac:dyDescent="0.2">
      <c r="U393">
        <v>0.4</v>
      </c>
      <c r="V393">
        <v>-5.2030000000000003</v>
      </c>
    </row>
    <row r="394" spans="21:25" x14ac:dyDescent="0.2">
      <c r="U394">
        <v>0.433</v>
      </c>
      <c r="V394">
        <v>-5.3620000000000001</v>
      </c>
    </row>
    <row r="395" spans="21:25" x14ac:dyDescent="0.2">
      <c r="U395">
        <v>0.46700000000000003</v>
      </c>
      <c r="V395">
        <v>-5.5750000000000002</v>
      </c>
    </row>
    <row r="396" spans="21:25" x14ac:dyDescent="0.2">
      <c r="U396">
        <v>0.5</v>
      </c>
      <c r="V396">
        <v>-5.84</v>
      </c>
    </row>
    <row r="397" spans="21:25" x14ac:dyDescent="0.2">
      <c r="U397">
        <v>0.53300000000000003</v>
      </c>
      <c r="V397">
        <v>-6.2389999999999999</v>
      </c>
    </row>
    <row r="398" spans="21:25" x14ac:dyDescent="0.2">
      <c r="U398">
        <v>0.56699999999999995</v>
      </c>
      <c r="V398">
        <v>-6.7430000000000003</v>
      </c>
    </row>
    <row r="399" spans="21:25" x14ac:dyDescent="0.2">
      <c r="U399">
        <v>0.6</v>
      </c>
      <c r="V399">
        <v>-6.9820000000000002</v>
      </c>
    </row>
    <row r="400" spans="21:25" x14ac:dyDescent="0.2">
      <c r="U400">
        <v>0.63300000000000001</v>
      </c>
      <c r="V400">
        <v>-7.141</v>
      </c>
    </row>
    <row r="473" spans="8:16" ht="75" x14ac:dyDescent="1.45">
      <c r="H473" s="4" t="s">
        <v>68</v>
      </c>
    </row>
    <row r="475" spans="8:16" x14ac:dyDescent="0.2">
      <c r="O475" t="s">
        <v>3</v>
      </c>
    </row>
    <row r="476" spans="8:16" x14ac:dyDescent="0.2">
      <c r="O476" t="s">
        <v>0</v>
      </c>
      <c r="P476" t="s">
        <v>1</v>
      </c>
    </row>
    <row r="477" spans="8:16" x14ac:dyDescent="0.2">
      <c r="O477">
        <v>0.66700000000000004</v>
      </c>
      <c r="P477">
        <v>-7.2549999999999999</v>
      </c>
    </row>
    <row r="478" spans="8:16" x14ac:dyDescent="0.2">
      <c r="O478">
        <v>0.63300000000000001</v>
      </c>
      <c r="P478">
        <v>-6.992</v>
      </c>
    </row>
    <row r="479" spans="8:16" x14ac:dyDescent="0.2">
      <c r="O479">
        <v>0.6</v>
      </c>
      <c r="P479">
        <v>-6.657</v>
      </c>
    </row>
    <row r="480" spans="8:16" x14ac:dyDescent="0.2">
      <c r="O480">
        <v>0.56699999999999995</v>
      </c>
      <c r="P480">
        <v>-6.3280000000000003</v>
      </c>
    </row>
    <row r="481" spans="8:30" x14ac:dyDescent="0.2">
      <c r="I481">
        <f>SUM(P477:P496)</f>
        <v>-86.558999999999969</v>
      </c>
      <c r="O481">
        <v>0.53300000000000003</v>
      </c>
      <c r="P481">
        <v>-6.01</v>
      </c>
    </row>
    <row r="482" spans="8:30" x14ac:dyDescent="0.2">
      <c r="H482" t="s">
        <v>69</v>
      </c>
      <c r="I482">
        <f>I481/COUNT(P477:P496)</f>
        <v>-4.3279499999999986</v>
      </c>
      <c r="O482">
        <v>0.5</v>
      </c>
      <c r="P482">
        <v>-5.7519999999999998</v>
      </c>
    </row>
    <row r="483" spans="8:30" x14ac:dyDescent="0.2">
      <c r="H483" t="s">
        <v>70</v>
      </c>
      <c r="I483">
        <f>7/COUNT(O477:O496)</f>
        <v>0.35</v>
      </c>
      <c r="O483">
        <v>0.46700000000000003</v>
      </c>
      <c r="P483">
        <v>-5.5060000000000002</v>
      </c>
    </row>
    <row r="484" spans="8:30" x14ac:dyDescent="0.2">
      <c r="O484">
        <v>0.433</v>
      </c>
      <c r="P484">
        <v>-5.1870000000000003</v>
      </c>
    </row>
    <row r="485" spans="8:30" x14ac:dyDescent="0.2">
      <c r="O485">
        <v>0.4</v>
      </c>
      <c r="P485">
        <v>-4.9160000000000004</v>
      </c>
    </row>
    <row r="486" spans="8:30" x14ac:dyDescent="0.2">
      <c r="O486">
        <v>0.36699999999999999</v>
      </c>
      <c r="P486">
        <v>-4.5919999999999996</v>
      </c>
    </row>
    <row r="487" spans="8:30" x14ac:dyDescent="0.2">
      <c r="I487">
        <v>2.84462378</v>
      </c>
      <c r="J487">
        <f>I488/I487</f>
        <v>156.28655610830899</v>
      </c>
      <c r="O487">
        <v>0.33300000000000002</v>
      </c>
      <c r="P487">
        <v>-4.3209999999999997</v>
      </c>
      <c r="S487" cm="1">
        <f t="array" ref="S487:T491">LINEST(P477:P496,O477:O496,1,1)</f>
        <v>-9.5940202913454922</v>
      </c>
      <c r="T487">
        <v>-0.97004289802907673</v>
      </c>
    </row>
    <row r="488" spans="8:30" x14ac:dyDescent="0.2">
      <c r="I488">
        <v>444.57645400000001</v>
      </c>
      <c r="J488">
        <f>J487/(COUNT(P477:P496)-2)</f>
        <v>8.6825864504616099</v>
      </c>
      <c r="O488">
        <v>0.3</v>
      </c>
      <c r="P488">
        <v>-3.9990000000000001</v>
      </c>
      <c r="S488">
        <v>0.11099578997416591</v>
      </c>
      <c r="T488">
        <v>4.4322105928703504E-2</v>
      </c>
      <c r="AC488" t="s">
        <v>3</v>
      </c>
    </row>
    <row r="489" spans="8:30" x14ac:dyDescent="0.2">
      <c r="J489">
        <f>SQRT(J488)</f>
        <v>2.9466228890819419</v>
      </c>
      <c r="O489">
        <v>0.26700000000000002</v>
      </c>
      <c r="P489">
        <v>-3.6219999999999999</v>
      </c>
      <c r="S489">
        <v>0.99759652736692583</v>
      </c>
      <c r="T489">
        <v>9.5419187109987799E-2</v>
      </c>
      <c r="AC489" t="s">
        <v>0</v>
      </c>
      <c r="AD489" t="s">
        <v>1</v>
      </c>
    </row>
    <row r="490" spans="8:30" x14ac:dyDescent="0.2">
      <c r="O490">
        <v>0.23300000000000001</v>
      </c>
      <c r="P490">
        <v>-3.2789999999999999</v>
      </c>
      <c r="S490">
        <v>7471.1637010140639</v>
      </c>
      <c r="T490">
        <v>18</v>
      </c>
      <c r="AC490" t="s">
        <v>4</v>
      </c>
    </row>
    <row r="491" spans="8:30" x14ac:dyDescent="0.2">
      <c r="O491">
        <v>0.2</v>
      </c>
      <c r="P491">
        <v>-2.8980000000000001</v>
      </c>
      <c r="S491">
        <v>68.023610167162843</v>
      </c>
      <c r="T491">
        <v>0.16388678283715555</v>
      </c>
      <c r="AC491" t="s">
        <v>5</v>
      </c>
      <c r="AD491" t="s">
        <v>45</v>
      </c>
    </row>
    <row r="492" spans="8:30" x14ac:dyDescent="0.2">
      <c r="O492">
        <v>0.16700000000000001</v>
      </c>
      <c r="P492">
        <v>-2.5569999999999999</v>
      </c>
      <c r="AC492" t="s">
        <v>6</v>
      </c>
      <c r="AD492" t="s">
        <v>46</v>
      </c>
    </row>
    <row r="493" spans="8:30" x14ac:dyDescent="0.2">
      <c r="O493">
        <v>0.13300000000000001</v>
      </c>
      <c r="P493">
        <v>-2.1970000000000001</v>
      </c>
      <c r="AC493" t="s">
        <v>7</v>
      </c>
      <c r="AD493" t="s">
        <v>44</v>
      </c>
    </row>
    <row r="494" spans="8:30" x14ac:dyDescent="0.2">
      <c r="O494">
        <v>0.1</v>
      </c>
      <c r="P494">
        <v>-1.835</v>
      </c>
      <c r="AC494" t="s">
        <v>8</v>
      </c>
      <c r="AD494" t="s">
        <v>47</v>
      </c>
    </row>
    <row r="495" spans="8:30" x14ac:dyDescent="0.2">
      <c r="O495" s="2">
        <v>6.6669999999999993E-2</v>
      </c>
      <c r="P495">
        <v>-1.496</v>
      </c>
      <c r="AC495" t="s">
        <v>9</v>
      </c>
      <c r="AD495" t="s">
        <v>48</v>
      </c>
    </row>
    <row r="496" spans="8:30" x14ac:dyDescent="0.2">
      <c r="O496" s="2">
        <v>3.3329999999999999E-2</v>
      </c>
      <c r="P496">
        <v>-1.1599999999999999</v>
      </c>
      <c r="AC496" t="s">
        <v>10</v>
      </c>
      <c r="AD496" t="s">
        <v>49</v>
      </c>
    </row>
    <row r="497" spans="19:30" x14ac:dyDescent="0.2">
      <c r="AC497" t="s">
        <v>11</v>
      </c>
      <c r="AD497" t="s">
        <v>50</v>
      </c>
    </row>
    <row r="498" spans="19:30" x14ac:dyDescent="0.2">
      <c r="AC498" t="s">
        <v>12</v>
      </c>
      <c r="AD498" t="s">
        <v>51</v>
      </c>
    </row>
    <row r="499" spans="19:30" x14ac:dyDescent="0.2">
      <c r="AC499" t="s">
        <v>13</v>
      </c>
      <c r="AD499" t="s">
        <v>52</v>
      </c>
    </row>
    <row r="500" spans="19:30" x14ac:dyDescent="0.2">
      <c r="S500" cm="1">
        <f t="array" ref="S500:T504">LINEST(P477:P496, O477:O496, 1, 1)</f>
        <v>-9.5940202913454922</v>
      </c>
      <c r="T500">
        <v>-0.97004289802907673</v>
      </c>
      <c r="AC500" t="s">
        <v>14</v>
      </c>
      <c r="AD500" t="s">
        <v>53</v>
      </c>
    </row>
    <row r="501" spans="19:30" x14ac:dyDescent="0.2">
      <c r="S501">
        <v>0.11099578997416591</v>
      </c>
      <c r="T501">
        <v>4.4322105928703504E-2</v>
      </c>
      <c r="AC501" t="s">
        <v>15</v>
      </c>
      <c r="AD501" t="s">
        <v>54</v>
      </c>
    </row>
    <row r="502" spans="19:30" x14ac:dyDescent="0.2">
      <c r="S502">
        <v>0.99759652736692583</v>
      </c>
      <c r="T502">
        <v>9.5419187109987799E-2</v>
      </c>
      <c r="AC502" t="s">
        <v>16</v>
      </c>
      <c r="AD502" t="s">
        <v>55</v>
      </c>
    </row>
    <row r="503" spans="19:30" x14ac:dyDescent="0.2">
      <c r="S503">
        <v>7471.1637010140639</v>
      </c>
      <c r="T503">
        <v>18</v>
      </c>
      <c r="AC503" t="s">
        <v>17</v>
      </c>
      <c r="AD503" t="s">
        <v>56</v>
      </c>
    </row>
    <row r="504" spans="19:30" x14ac:dyDescent="0.2">
      <c r="S504">
        <v>68.023610167162843</v>
      </c>
      <c r="T504">
        <v>0.16388678283715555</v>
      </c>
      <c r="AC504" t="s">
        <v>18</v>
      </c>
      <c r="AD504" t="s">
        <v>57</v>
      </c>
    </row>
    <row r="505" spans="19:30" x14ac:dyDescent="0.2">
      <c r="AC505" t="s">
        <v>19</v>
      </c>
      <c r="AD505" t="s">
        <v>61</v>
      </c>
    </row>
    <row r="506" spans="19:30" x14ac:dyDescent="0.2">
      <c r="AC506" t="s">
        <v>20</v>
      </c>
      <c r="AD506" t="s">
        <v>58</v>
      </c>
    </row>
    <row r="507" spans="19:30" x14ac:dyDescent="0.2">
      <c r="AC507" t="s">
        <v>21</v>
      </c>
      <c r="AD507" t="s">
        <v>62</v>
      </c>
    </row>
    <row r="508" spans="19:30" x14ac:dyDescent="0.2">
      <c r="AC508" t="s">
        <v>22</v>
      </c>
      <c r="AD508" t="s">
        <v>59</v>
      </c>
    </row>
    <row r="509" spans="19:30" x14ac:dyDescent="0.2">
      <c r="AC509" t="s">
        <v>23</v>
      </c>
      <c r="AD509" t="s">
        <v>63</v>
      </c>
    </row>
    <row r="510" spans="19:30" x14ac:dyDescent="0.2">
      <c r="AC510" t="s">
        <v>24</v>
      </c>
      <c r="AD510" t="s">
        <v>60</v>
      </c>
    </row>
    <row r="577" spans="26:27" x14ac:dyDescent="0.2">
      <c r="Z577" t="s">
        <v>71</v>
      </c>
    </row>
    <row r="578" spans="26:27" x14ac:dyDescent="0.2">
      <c r="Z578" t="s">
        <v>0</v>
      </c>
      <c r="AA578" t="s">
        <v>1</v>
      </c>
    </row>
    <row r="579" spans="26:27" x14ac:dyDescent="0.2">
      <c r="Z579" t="s">
        <v>5</v>
      </c>
      <c r="AA579" t="s">
        <v>25</v>
      </c>
    </row>
    <row r="580" spans="26:27" x14ac:dyDescent="0.2">
      <c r="Z580" t="s">
        <v>6</v>
      </c>
      <c r="AA580" t="s">
        <v>26</v>
      </c>
    </row>
    <row r="581" spans="26:27" x14ac:dyDescent="0.2">
      <c r="Z581" t="s">
        <v>7</v>
      </c>
      <c r="AA581" t="s">
        <v>27</v>
      </c>
    </row>
    <row r="582" spans="26:27" x14ac:dyDescent="0.2">
      <c r="Z582" t="s">
        <v>8</v>
      </c>
      <c r="AA582" t="s">
        <v>28</v>
      </c>
    </row>
    <row r="583" spans="26:27" x14ac:dyDescent="0.2">
      <c r="Z583" t="s">
        <v>9</v>
      </c>
      <c r="AA583" t="s">
        <v>29</v>
      </c>
    </row>
    <row r="584" spans="26:27" x14ac:dyDescent="0.2">
      <c r="Z584" t="s">
        <v>10</v>
      </c>
      <c r="AA584" t="s">
        <v>30</v>
      </c>
    </row>
    <row r="585" spans="26:27" x14ac:dyDescent="0.2">
      <c r="Z585" t="s">
        <v>11</v>
      </c>
      <c r="AA585" t="s">
        <v>31</v>
      </c>
    </row>
    <row r="586" spans="26:27" x14ac:dyDescent="0.2">
      <c r="Z586" t="s">
        <v>12</v>
      </c>
      <c r="AA586" t="s">
        <v>32</v>
      </c>
    </row>
    <row r="587" spans="26:27" x14ac:dyDescent="0.2">
      <c r="Z587" t="s">
        <v>13</v>
      </c>
      <c r="AA587" t="s">
        <v>33</v>
      </c>
    </row>
    <row r="588" spans="26:27" x14ac:dyDescent="0.2">
      <c r="Z588" t="s">
        <v>14</v>
      </c>
      <c r="AA588" t="s">
        <v>34</v>
      </c>
    </row>
    <row r="589" spans="26:27" x14ac:dyDescent="0.2">
      <c r="Z589" t="s">
        <v>15</v>
      </c>
      <c r="AA589" t="s">
        <v>35</v>
      </c>
    </row>
    <row r="590" spans="26:27" x14ac:dyDescent="0.2">
      <c r="Z590" t="s">
        <v>16</v>
      </c>
      <c r="AA590" t="s">
        <v>36</v>
      </c>
    </row>
    <row r="591" spans="26:27" x14ac:dyDescent="0.2">
      <c r="Z591" t="s">
        <v>17</v>
      </c>
      <c r="AA591" t="s">
        <v>37</v>
      </c>
    </row>
    <row r="592" spans="26:27" x14ac:dyDescent="0.2">
      <c r="Z592" t="s">
        <v>18</v>
      </c>
      <c r="AA592" t="s">
        <v>38</v>
      </c>
    </row>
    <row r="593" spans="26:27" x14ac:dyDescent="0.2">
      <c r="Z593" t="s">
        <v>19</v>
      </c>
      <c r="AA593" t="s">
        <v>39</v>
      </c>
    </row>
    <row r="594" spans="26:27" x14ac:dyDescent="0.2">
      <c r="Z594" t="s">
        <v>20</v>
      </c>
      <c r="AA594" t="s">
        <v>40</v>
      </c>
    </row>
    <row r="595" spans="26:27" x14ac:dyDescent="0.2">
      <c r="Z595" t="s">
        <v>21</v>
      </c>
      <c r="AA595" t="s">
        <v>41</v>
      </c>
    </row>
    <row r="596" spans="26:27" x14ac:dyDescent="0.2">
      <c r="Z596" t="s">
        <v>22</v>
      </c>
      <c r="AA596" t="s">
        <v>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2022-04-15T15:49:52Z</dcterms:created>
  <dcterms:modified xsi:type="dcterms:W3CDTF">2022-04-18T18:33:09Z</dcterms:modified>
</cp:coreProperties>
</file>