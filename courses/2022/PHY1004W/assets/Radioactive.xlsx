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cristaudo/Desktop/"/>
    </mc:Choice>
  </mc:AlternateContent>
  <xr:revisionPtr revIDLastSave="0" documentId="13_ncr:1_{4E5AE144-1A67-B44D-AF1A-186B9B2428D2}" xr6:coauthVersionLast="47" xr6:coauthVersionMax="47" xr10:uidLastSave="{00000000-0000-0000-0000-000000000000}"/>
  <bookViews>
    <workbookView xWindow="-27500" yWindow="-400" windowWidth="28040" windowHeight="16000" xr2:uid="{33E57561-29CA-724F-BED0-A9C6EE3D0A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" i="1" l="1"/>
  <c r="Q15" i="1"/>
  <c r="Q14" i="1"/>
  <c r="Q13" i="1"/>
  <c r="Q12" i="1"/>
  <c r="Q11" i="1"/>
  <c r="Q10" i="1"/>
  <c r="Q9" i="1"/>
  <c r="P14" i="1"/>
  <c r="P15" i="1" s="1"/>
  <c r="P16" i="1" s="1"/>
  <c r="C10" i="1"/>
  <c r="C11" i="1" s="1"/>
  <c r="D10" i="1"/>
  <c r="E10" i="1"/>
  <c r="E11" i="1" s="1"/>
  <c r="F10" i="1"/>
  <c r="F11" i="1" s="1"/>
  <c r="B10" i="1"/>
  <c r="D11" i="1" l="1"/>
</calcChain>
</file>

<file path=xl/sharedStrings.xml><?xml version="1.0" encoding="utf-8"?>
<sst xmlns="http://schemas.openxmlformats.org/spreadsheetml/2006/main" count="10" uniqueCount="10">
  <si>
    <t>AVERAGE</t>
  </si>
  <si>
    <t xml:space="preserve">N0 </t>
  </si>
  <si>
    <t>N(1)</t>
  </si>
  <si>
    <t>N(2)</t>
  </si>
  <si>
    <t>N(3)</t>
  </si>
  <si>
    <t>N(4)</t>
  </si>
  <si>
    <t>N(0)</t>
  </si>
  <si>
    <t>Y</t>
  </si>
  <si>
    <t>X</t>
  </si>
  <si>
    <t>193; 190; 176; 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</si>
</sst>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Sheet1!$K$5:$K$8</c:f>
              <c:numCache>
                <c:formatCode>General</c:formatCode>
                <c:ptCount val="4"/>
                <c:pt idx="0">
                  <c:v>-0.40799999999999997</c:v>
                </c:pt>
                <c:pt idx="1">
                  <c:v>-0.59599999999999997</c:v>
                </c:pt>
                <c:pt idx="2">
                  <c:v>-0.68500000000000005</c:v>
                </c:pt>
                <c:pt idx="3">
                  <c:v>-0.88100000000000001</c:v>
                </c:pt>
              </c:numCache>
            </c:numRef>
          </c:xVal>
          <c:yVal>
            <c:numRef>
              <c:f>Sheet1!$L$5:$L$8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7</c:v>
                </c:pt>
                <c:pt idx="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33-CA43-830F-75FC50155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5772960"/>
        <c:axId val="645817680"/>
      </c:scatterChart>
      <c:valAx>
        <c:axId val="64577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817680"/>
        <c:crosses val="autoZero"/>
        <c:crossBetween val="midCat"/>
      </c:valAx>
      <c:valAx>
        <c:axId val="64581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772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596900</xdr:colOff>
      <xdr:row>10</xdr:row>
      <xdr:rowOff>76200</xdr:rowOff>
    </xdr:from>
    <xdr:to>
      <xdr:col>13</xdr:col>
      <xdr:colOff>215900</xdr:colOff>
      <xdr:row>23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83DE25-4676-0ACF-A79C-160239A411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46464-F89A-F643-93F3-0D745C57372F}">
  <dimension ref="A2:Q16"/>
  <sheetViews>
    <sheetView tabSelected="1" workbookViewId="0">
      <selection activeCell="Q17" sqref="Q17"/>
    </sheetView>
  </sheetViews>
  <sheetFormatPr baseColWidth="10" defaultRowHeight="16" x14ac:dyDescent="0.2"/>
  <sheetData>
    <row r="2" spans="1:17" x14ac:dyDescent="0.2">
      <c r="B2" t="s">
        <v>6</v>
      </c>
      <c r="C2" t="s">
        <v>2</v>
      </c>
      <c r="D2" t="s">
        <v>3</v>
      </c>
      <c r="E2" t="s">
        <v>4</v>
      </c>
      <c r="F2" t="s">
        <v>5</v>
      </c>
    </row>
    <row r="3" spans="1:17" x14ac:dyDescent="0.2">
      <c r="B3">
        <v>193</v>
      </c>
      <c r="C3">
        <v>127</v>
      </c>
      <c r="D3">
        <v>92</v>
      </c>
      <c r="E3">
        <v>109</v>
      </c>
      <c r="F3">
        <v>92</v>
      </c>
    </row>
    <row r="4" spans="1:17" x14ac:dyDescent="0.2">
      <c r="B4">
        <v>190</v>
      </c>
      <c r="C4">
        <v>129</v>
      </c>
      <c r="D4">
        <v>119</v>
      </c>
      <c r="E4">
        <v>101</v>
      </c>
      <c r="F4">
        <v>89</v>
      </c>
      <c r="K4" t="s">
        <v>7</v>
      </c>
      <c r="L4" t="s">
        <v>8</v>
      </c>
    </row>
    <row r="5" spans="1:17" x14ac:dyDescent="0.2">
      <c r="B5">
        <v>176</v>
      </c>
      <c r="C5">
        <v>127</v>
      </c>
      <c r="D5">
        <v>115</v>
      </c>
      <c r="E5">
        <v>99</v>
      </c>
      <c r="F5">
        <v>91</v>
      </c>
      <c r="K5">
        <v>-0.40799999999999997</v>
      </c>
      <c r="L5">
        <v>2</v>
      </c>
    </row>
    <row r="6" spans="1:17" ht="17" thickBot="1" x14ac:dyDescent="0.25">
      <c r="B6">
        <v>184</v>
      </c>
      <c r="C6">
        <v>137</v>
      </c>
      <c r="D6">
        <v>117</v>
      </c>
      <c r="E6">
        <v>103</v>
      </c>
      <c r="F6">
        <v>90</v>
      </c>
      <c r="K6">
        <v>-0.59599999999999997</v>
      </c>
      <c r="L6">
        <v>5</v>
      </c>
    </row>
    <row r="7" spans="1:17" ht="27" thickBot="1" x14ac:dyDescent="0.25">
      <c r="K7">
        <v>-0.68500000000000005</v>
      </c>
      <c r="L7">
        <v>7</v>
      </c>
      <c r="P7" s="1" t="s">
        <v>9</v>
      </c>
    </row>
    <row r="8" spans="1:17" x14ac:dyDescent="0.2">
      <c r="K8">
        <v>-0.88100000000000001</v>
      </c>
      <c r="L8">
        <v>10</v>
      </c>
    </row>
    <row r="9" spans="1:17" x14ac:dyDescent="0.2">
      <c r="B9" t="s">
        <v>0</v>
      </c>
      <c r="Q9">
        <f>AVERAGE(P10:P13)</f>
        <v>78</v>
      </c>
    </row>
    <row r="10" spans="1:17" x14ac:dyDescent="0.2">
      <c r="A10" t="s">
        <v>1</v>
      </c>
      <c r="B10">
        <f>AVERAGE(B3:B6)</f>
        <v>185.75</v>
      </c>
      <c r="C10">
        <f t="shared" ref="C10:F10" si="0">AVERAGE(C3:C6)</f>
        <v>130</v>
      </c>
      <c r="D10">
        <f t="shared" si="0"/>
        <v>110.75</v>
      </c>
      <c r="E10">
        <f t="shared" si="0"/>
        <v>103</v>
      </c>
      <c r="F10">
        <f t="shared" si="0"/>
        <v>90.5</v>
      </c>
      <c r="P10">
        <v>86</v>
      </c>
      <c r="Q10">
        <f>(P10-Q9)^2</f>
        <v>64</v>
      </c>
    </row>
    <row r="11" spans="1:17" x14ac:dyDescent="0.2">
      <c r="C11">
        <f>C10/B10</f>
        <v>0.69986541049798112</v>
      </c>
      <c r="D11">
        <f>D10/B10</f>
        <v>0.59623149394347241</v>
      </c>
      <c r="E11">
        <f>E10/B10</f>
        <v>0.55450874831763119</v>
      </c>
      <c r="F11">
        <f>F10/B10</f>
        <v>0.48721399730820997</v>
      </c>
      <c r="P11">
        <v>67</v>
      </c>
      <c r="Q11">
        <f>(P11-Q9)^2</f>
        <v>121</v>
      </c>
    </row>
    <row r="12" spans="1:17" x14ac:dyDescent="0.2">
      <c r="P12">
        <v>84</v>
      </c>
      <c r="Q12">
        <f>(P12-Q9)^2</f>
        <v>36</v>
      </c>
    </row>
    <row r="13" spans="1:17" x14ac:dyDescent="0.2">
      <c r="P13">
        <v>75</v>
      </c>
      <c r="Q13">
        <f>(P13-Q9)^2</f>
        <v>9</v>
      </c>
    </row>
    <row r="14" spans="1:17" x14ac:dyDescent="0.2">
      <c r="P14">
        <f>VAR(P10:P13)</f>
        <v>76.666666666666671</v>
      </c>
      <c r="Q14">
        <f>SUM(Q10:Q13)</f>
        <v>230</v>
      </c>
    </row>
    <row r="15" spans="1:17" x14ac:dyDescent="0.2">
      <c r="P15">
        <f>P14/3</f>
        <v>25.555555555555557</v>
      </c>
      <c r="Q15">
        <f>Q14/(12)</f>
        <v>19.166666666666668</v>
      </c>
    </row>
    <row r="16" spans="1:17" x14ac:dyDescent="0.2">
      <c r="P16">
        <f>SQRT(P15)</f>
        <v>5.0552502960343668</v>
      </c>
      <c r="Q16">
        <f>SQRT(Q15)</f>
        <v>4.377975178854566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2022-10-04T12:50:57Z</dcterms:created>
  <dcterms:modified xsi:type="dcterms:W3CDTF">2022-10-14T14:48:55Z</dcterms:modified>
</cp:coreProperties>
</file>