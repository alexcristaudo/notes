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cristaudo/Desktop/"/>
    </mc:Choice>
  </mc:AlternateContent>
  <xr:revisionPtr revIDLastSave="0" documentId="13_ncr:1_{6C57EFC0-8390-0546-A56A-3B51214FCBCA}" xr6:coauthVersionLast="47" xr6:coauthVersionMax="47" xr10:uidLastSave="{00000000-0000-0000-0000-000000000000}"/>
  <bookViews>
    <workbookView xWindow="360" yWindow="500" windowWidth="28040" windowHeight="16220" xr2:uid="{C041C869-B759-C64E-B6A5-F9A0A0526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1" l="1" a="1"/>
  <c r="D18" i="1" s="1"/>
  <c r="E18" i="1" a="1"/>
  <c r="E18" i="1" s="1"/>
  <c r="D2" i="1" a="1"/>
  <c r="D2" i="1" s="1"/>
  <c r="D10" i="1" s="1" a="1"/>
  <c r="D10" i="1" s="1"/>
  <c r="A79" i="1"/>
  <c r="A78" i="1"/>
  <c r="A71" i="1"/>
  <c r="A87" i="1" s="1"/>
  <c r="A72" i="1"/>
  <c r="A80" i="1" s="1"/>
  <c r="A73" i="1"/>
  <c r="A81" i="1" s="1"/>
  <c r="A74" i="1"/>
  <c r="A82" i="1" s="1"/>
  <c r="A75" i="1"/>
  <c r="A91" i="1" s="1"/>
  <c r="A70" i="1"/>
  <c r="A86" i="1" s="1"/>
  <c r="B74" i="1"/>
  <c r="B82" i="1" s="1"/>
  <c r="B75" i="1"/>
  <c r="B83" i="1" s="1"/>
  <c r="B70" i="1"/>
  <c r="B86" i="1" s="1"/>
  <c r="B11" i="1"/>
  <c r="B12" i="1"/>
  <c r="B13" i="1"/>
  <c r="B14" i="1"/>
  <c r="B15" i="1"/>
  <c r="B10" i="1"/>
  <c r="A11" i="1"/>
  <c r="B71" i="1" s="1"/>
  <c r="A12" i="1"/>
  <c r="B72" i="1" s="1"/>
  <c r="A13" i="1"/>
  <c r="B73" i="1" s="1"/>
  <c r="A14" i="1"/>
  <c r="A15" i="1"/>
  <c r="A10" i="1"/>
  <c r="B19" i="1"/>
  <c r="B20" i="1"/>
  <c r="B21" i="1"/>
  <c r="B22" i="1"/>
  <c r="B23" i="1"/>
  <c r="B18" i="1"/>
  <c r="A19" i="1"/>
  <c r="A20" i="1"/>
  <c r="A21" i="1"/>
  <c r="A22" i="1"/>
  <c r="A23" i="1"/>
  <c r="A18" i="1"/>
  <c r="B87" i="1" l="1"/>
  <c r="B79" i="1"/>
  <c r="B81" i="1"/>
  <c r="B89" i="1"/>
  <c r="B88" i="1"/>
  <c r="B80" i="1"/>
  <c r="A90" i="1"/>
  <c r="A89" i="1"/>
  <c r="B90" i="1"/>
  <c r="A88" i="1"/>
  <c r="A83" i="1"/>
  <c r="B78" i="1"/>
  <c r="B91" i="1"/>
  <c r="E10" i="1" a="1"/>
  <c r="E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<sst xmlns="http://schemas.openxmlformats.org/spreadsheetml/2006/main" count="18" uniqueCount="7">
  <si>
    <t>Height</t>
  </si>
  <si>
    <t>Distance</t>
  </si>
  <si>
    <t>Distance^2</t>
  </si>
  <si>
    <t>√Distance</t>
  </si>
  <si>
    <t>Height (m)</t>
  </si>
  <si>
    <t>Distance (m)</t>
  </si>
  <si>
    <t>sqrt(Distance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</si>
</sst>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Sheet1!$B$77</c:f>
              <c:strCache>
                <c:ptCount val="1"/>
                <c:pt idx="0">
                  <c:v>Height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Sheet1!$A$78:$A$83</c:f>
              <c:numCache>
                <c:formatCode>General</c:formatCode>
                <c:ptCount val="6"/>
                <c:pt idx="0">
                  <c:v>5.5533773507659285</c:v>
                </c:pt>
                <c:pt idx="1">
                  <c:v>5.8068924563831903</c:v>
                </c:pt>
                <c:pt idx="2">
                  <c:v>6.2096698785040099</c:v>
                </c:pt>
                <c:pt idx="3">
                  <c:v>6.5757128891094387</c:v>
                </c:pt>
                <c:pt idx="4">
                  <c:v>6.832276341015489</c:v>
                </c:pt>
                <c:pt idx="5">
                  <c:v>5.2915026221291814</c:v>
                </c:pt>
              </c:numCache>
            </c:numRef>
          </c:xVal>
          <c:yVal>
            <c:numRef>
              <c:f>Sheet1!$B$78:$B$83</c:f>
              <c:numCache>
                <c:formatCode>General</c:formatCode>
                <c:ptCount val="6"/>
                <c:pt idx="0">
                  <c:v>4.5</c:v>
                </c:pt>
                <c:pt idx="1">
                  <c:v>5.5</c:v>
                </c:pt>
                <c:pt idx="2">
                  <c:v>6.7</c:v>
                </c:pt>
                <c:pt idx="3">
                  <c:v>8</c:v>
                </c:pt>
                <c:pt idx="4">
                  <c:v>9.6</c:v>
                </c:pt>
                <c:pt idx="5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CE-3541-B0D5-7B6A899C5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954928"/>
        <c:axId val="460932064"/>
      </c:scatterChart>
      <c:valAx>
        <c:axId val="46095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32064"/>
        <c:crosses val="autoZero"/>
        <c:crossBetween val="midCat"/>
      </c:valAx>
      <c:valAx>
        <c:axId val="4609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5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Sheet1!$B$85</c:f>
              <c:strCache>
                <c:ptCount val="1"/>
                <c:pt idx="0">
                  <c:v>Height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Sheet1!$A$86:$A$91</c:f>
              <c:numCache>
                <c:formatCode>General</c:formatCode>
                <c:ptCount val="6"/>
                <c:pt idx="0">
                  <c:v>951.10559999999998</c:v>
                </c:pt>
                <c:pt idx="1">
                  <c:v>1137.0383999999999</c:v>
                </c:pt>
                <c:pt idx="2">
                  <c:v>1486.8736000000001</c:v>
                </c:pt>
                <c:pt idx="3">
                  <c:v>1869.6976000000002</c:v>
                </c:pt>
                <c:pt idx="4">
                  <c:v>2179.0223999999998</c:v>
                </c:pt>
                <c:pt idx="5">
                  <c:v>784</c:v>
                </c:pt>
              </c:numCache>
            </c:numRef>
          </c:xVal>
          <c:yVal>
            <c:numRef>
              <c:f>Sheet1!$B$86:$B$91</c:f>
              <c:numCache>
                <c:formatCode>General</c:formatCode>
                <c:ptCount val="6"/>
                <c:pt idx="0">
                  <c:v>4.5</c:v>
                </c:pt>
                <c:pt idx="1">
                  <c:v>5.5</c:v>
                </c:pt>
                <c:pt idx="2">
                  <c:v>6.7</c:v>
                </c:pt>
                <c:pt idx="3">
                  <c:v>8</c:v>
                </c:pt>
                <c:pt idx="4">
                  <c:v>9.6</c:v>
                </c:pt>
                <c:pt idx="5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9-C443-95E8-1CD8B77B0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168144"/>
        <c:axId val="470169792"/>
      </c:scatterChart>
      <c:valAx>
        <c:axId val="47016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69792"/>
        <c:crosses val="autoZero"/>
        <c:crossBetween val="midCat"/>
      </c:valAx>
      <c:valAx>
        <c:axId val="4701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6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sqrt(Distance)</a:t>
            </a:r>
            <a:r>
              <a:rPr lang="en-US" baseline="0"/>
              <a:t> vs height (m)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sqrt(Distance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236417322834646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Sheet1!$D$10:$D$15</c:f>
              <c:numCache>
                <c:formatCode>General</c:formatCode>
                <c:ptCount val="6"/>
                <c:pt idx="0">
                  <c:v>4.4999999999999998E-2</c:v>
                </c:pt>
                <c:pt idx="1">
                  <c:v>5.5E-2</c:v>
                </c:pt>
                <c:pt idx="2">
                  <c:v>6.7000000000000004E-2</c:v>
                </c:pt>
                <c:pt idx="3">
                  <c:v>0.08</c:v>
                </c:pt>
                <c:pt idx="4">
                  <c:v>9.6000000000000002E-2</c:v>
                </c:pt>
                <c:pt idx="5">
                  <c:v>3.7000000000000005E-2</c:v>
                </c:pt>
              </c:numCache>
            </c:numRef>
          </c:xVal>
          <c:yVal>
            <c:numRef>
              <c:f>Sheet1!$E$10:$E$15</c:f>
              <c:numCache>
                <c:formatCode>General</c:formatCode>
                <c:ptCount val="6"/>
                <c:pt idx="0">
                  <c:v>0.55533773507659279</c:v>
                </c:pt>
                <c:pt idx="1">
                  <c:v>0.58068924563831903</c:v>
                </c:pt>
                <c:pt idx="2">
                  <c:v>0.62096698785040094</c:v>
                </c:pt>
                <c:pt idx="3">
                  <c:v>0.65757128891094385</c:v>
                </c:pt>
                <c:pt idx="4">
                  <c:v>0.68322763410154885</c:v>
                </c:pt>
                <c:pt idx="5">
                  <c:v>0.52915026221291817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D-0B41-AD81-6843B33C3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973968"/>
        <c:axId val="460976208"/>
      </c:scatterChart>
      <c:valAx>
        <c:axId val="46097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76208"/>
        <c:crosses val="autoZero"/>
        <c:crossBetween val="midCat"/>
      </c:valAx>
      <c:valAx>
        <c:axId val="4609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sqrt(Distance)</a:t>
                </a:r>
                <a:r>
                  <a:rPr lang="en-GB" baseline="0"/>
                  <a:t> (m)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7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Distance 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3507249733698368"/>
                  <c:y val="-0.21925778419923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Sheet1!$D$2:$D$7</c:f>
              <c:numCache>
                <c:formatCode>General</c:formatCode>
                <c:ptCount val="6"/>
                <c:pt idx="0">
                  <c:v>4.4999999999999998E-2</c:v>
                </c:pt>
                <c:pt idx="1">
                  <c:v>5.5E-2</c:v>
                </c:pt>
                <c:pt idx="2">
                  <c:v>6.7000000000000004E-2</c:v>
                </c:pt>
                <c:pt idx="3">
                  <c:v>0.08</c:v>
                </c:pt>
                <c:pt idx="4">
                  <c:v>9.6000000000000002E-2</c:v>
                </c:pt>
                <c:pt idx="5">
                  <c:v>3.7000000000000005E-2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  <c:pt idx="0">
                  <c:v>0.30840000000000001</c:v>
                </c:pt>
                <c:pt idx="1">
                  <c:v>0.3372</c:v>
                </c:pt>
                <c:pt idx="2">
                  <c:v>0.3856</c:v>
                </c:pt>
                <c:pt idx="3">
                  <c:v>0.43240000000000001</c:v>
                </c:pt>
                <c:pt idx="4">
                  <c:v>0.46679999999999999</c:v>
                </c:pt>
                <c:pt idx="5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6-5A4A-AF31-8CEA52B32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415360"/>
        <c:axId val="470208208"/>
      </c:scatterChart>
      <c:valAx>
        <c:axId val="47041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208208"/>
        <c:crosses val="autoZero"/>
        <c:crossBetween val="midCat"/>
      </c:valAx>
      <c:valAx>
        <c:axId val="4702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1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Distance^2 vs height 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Sheet1!$E$17</c:f>
              <c:strCache>
                <c:ptCount val="1"/>
                <c:pt idx="0">
                  <c:v>Distance^2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070888013998251"/>
                  <c:y val="-0.162788713910761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Sheet1!$D$18:$D$23</c:f>
              <c:numCache>
                <c:formatCode>General</c:formatCode>
                <c:ptCount val="6"/>
                <c:pt idx="0">
                  <c:v>4.4999999999999998E-2</c:v>
                </c:pt>
                <c:pt idx="1">
                  <c:v>5.5E-2</c:v>
                </c:pt>
                <c:pt idx="2">
                  <c:v>6.7000000000000004E-2</c:v>
                </c:pt>
                <c:pt idx="3">
                  <c:v>0.08</c:v>
                </c:pt>
                <c:pt idx="4">
                  <c:v>9.6000000000000002E-2</c:v>
                </c:pt>
                <c:pt idx="5">
                  <c:v>3.7000000000000005E-2</c:v>
                </c:pt>
              </c:numCache>
            </c:numRef>
          </c:xVal>
          <c:yVal>
            <c:numRef>
              <c:f>Sheet1!$E$18:$E$23</c:f>
              <c:numCache>
                <c:formatCode>General</c:formatCode>
                <c:ptCount val="6"/>
                <c:pt idx="0">
                  <c:v>9.5110560000000011E-2</c:v>
                </c:pt>
                <c:pt idx="1">
                  <c:v>0.11370384</c:v>
                </c:pt>
                <c:pt idx="2">
                  <c:v>0.14868735999999999</c:v>
                </c:pt>
                <c:pt idx="3">
                  <c:v>0.18696976000000001</c:v>
                </c:pt>
                <c:pt idx="4">
                  <c:v>0.21790224</c:v>
                </c:pt>
                <c:pt idx="5">
                  <c:v>7.8400000000000011E-2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3-4043-BC0C-B835D7E3C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576192"/>
        <c:axId val="460603328"/>
      </c:scatterChart>
      <c:valAx>
        <c:axId val="46057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Height</a:t>
                </a:r>
                <a:r>
                  <a:rPr lang="en-GB" baseline="0"/>
                  <a:t> (m)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03328"/>
        <c:crosses val="autoZero"/>
        <c:crossBetween val="midCat"/>
      </c:valAx>
      <c:valAx>
        <c:axId val="46060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Distance^2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57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31750</xdr:colOff>
      <xdr:row>8</xdr:row>
      <xdr:rowOff>38100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A76E92-8535-B146-9F7E-5EC225D5D85B}"/>
            </a:ext>
          </a:extLst>
        </xdr:cNvPr>
        <xdr:cNvSpPr txBox="1"/>
      </xdr:nvSpPr>
      <xdr:spPr>
        <a:xfrm>
          <a:off x="857250" y="175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9</xdr:row>
      <xdr:rowOff>38100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A045E3-F7D0-5047-9891-2E70F2141F5B}"/>
            </a:ext>
          </a:extLst>
        </xdr:cNvPr>
        <xdr:cNvSpPr txBox="1"/>
      </xdr:nvSpPr>
      <xdr:spPr>
        <a:xfrm>
          <a:off x="857250" y="175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10</xdr:row>
      <xdr:rowOff>38100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9CEAA15-4083-CC48-9CFC-A4562C10F421}"/>
            </a:ext>
          </a:extLst>
        </xdr:cNvPr>
        <xdr:cNvSpPr txBox="1"/>
      </xdr:nvSpPr>
      <xdr:spPr>
        <a:xfrm>
          <a:off x="857250" y="175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11</xdr:row>
      <xdr:rowOff>38100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7BC5C87-F7B2-4A46-8179-23E65A594CC0}"/>
            </a:ext>
          </a:extLst>
        </xdr:cNvPr>
        <xdr:cNvSpPr txBox="1"/>
      </xdr:nvSpPr>
      <xdr:spPr>
        <a:xfrm>
          <a:off x="857250" y="195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11</xdr:row>
      <xdr:rowOff>38100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C3D8EED-5EA6-2E4A-8710-D95BC3F9659E}"/>
            </a:ext>
          </a:extLst>
        </xdr:cNvPr>
        <xdr:cNvSpPr txBox="1"/>
      </xdr:nvSpPr>
      <xdr:spPr>
        <a:xfrm>
          <a:off x="857250" y="175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12</xdr:row>
      <xdr:rowOff>38100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C777947-C446-F64B-88FB-93F631EF645F}"/>
            </a:ext>
          </a:extLst>
        </xdr:cNvPr>
        <xdr:cNvSpPr txBox="1"/>
      </xdr:nvSpPr>
      <xdr:spPr>
        <a:xfrm>
          <a:off x="857250" y="195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12</xdr:row>
      <xdr:rowOff>38100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46B799-E1D4-A344-8AE8-96D191B88DD2}"/>
            </a:ext>
          </a:extLst>
        </xdr:cNvPr>
        <xdr:cNvSpPr txBox="1"/>
      </xdr:nvSpPr>
      <xdr:spPr>
        <a:xfrm>
          <a:off x="857250" y="175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13</xdr:row>
      <xdr:rowOff>38100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F168F9F-5DC0-6441-AD87-443CF59D831A}"/>
            </a:ext>
          </a:extLst>
        </xdr:cNvPr>
        <xdr:cNvSpPr txBox="1"/>
      </xdr:nvSpPr>
      <xdr:spPr>
        <a:xfrm>
          <a:off x="857250" y="195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13</xdr:row>
      <xdr:rowOff>38100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C540AA6-A25A-9740-A248-F49112372EC6}"/>
            </a:ext>
          </a:extLst>
        </xdr:cNvPr>
        <xdr:cNvSpPr txBox="1"/>
      </xdr:nvSpPr>
      <xdr:spPr>
        <a:xfrm>
          <a:off x="857250" y="175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</xdr:col>
      <xdr:colOff>31750</xdr:colOff>
      <xdr:row>14</xdr:row>
      <xdr:rowOff>38100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6CB36E2-5B80-B940-A3DE-EB5F1CC3D035}"/>
            </a:ext>
          </a:extLst>
        </xdr:cNvPr>
        <xdr:cNvSpPr txBox="1"/>
      </xdr:nvSpPr>
      <xdr:spPr>
        <a:xfrm>
          <a:off x="857250" y="195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68</xdr:row>
      <xdr:rowOff>38100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3ADECE7-B235-7940-B913-F3BB5BDA56AD}"/>
            </a:ext>
          </a:extLst>
        </xdr:cNvPr>
        <xdr:cNvSpPr txBox="1"/>
      </xdr:nvSpPr>
      <xdr:spPr>
        <a:xfrm>
          <a:off x="854898" y="171967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69</xdr:row>
      <xdr:rowOff>38100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869C59D-48A9-E84E-87E5-A14C6928968C}"/>
            </a:ext>
          </a:extLst>
        </xdr:cNvPr>
        <xdr:cNvSpPr txBox="1"/>
      </xdr:nvSpPr>
      <xdr:spPr>
        <a:xfrm>
          <a:off x="854898" y="191958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70</xdr:row>
      <xdr:rowOff>38100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843DE47-33FD-ED48-893E-9E3B1B13E0D3}"/>
            </a:ext>
          </a:extLst>
        </xdr:cNvPr>
        <xdr:cNvSpPr txBox="1"/>
      </xdr:nvSpPr>
      <xdr:spPr>
        <a:xfrm>
          <a:off x="854898" y="211948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71</xdr:row>
      <xdr:rowOff>38100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9FA0D76-50A4-B24B-820C-81E7CF23C0B8}"/>
            </a:ext>
          </a:extLst>
        </xdr:cNvPr>
        <xdr:cNvSpPr txBox="1"/>
      </xdr:nvSpPr>
      <xdr:spPr>
        <a:xfrm>
          <a:off x="854898" y="2319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71</xdr:row>
      <xdr:rowOff>38100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1678E6E-3F8B-B944-868C-788B1DE2EF97}"/>
            </a:ext>
          </a:extLst>
        </xdr:cNvPr>
        <xdr:cNvSpPr txBox="1"/>
      </xdr:nvSpPr>
      <xdr:spPr>
        <a:xfrm>
          <a:off x="854898" y="2319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72</xdr:row>
      <xdr:rowOff>38100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E2FD407-95D7-B84C-BA4A-3180C79E1AA7}"/>
            </a:ext>
          </a:extLst>
        </xdr:cNvPr>
        <xdr:cNvSpPr txBox="1"/>
      </xdr:nvSpPr>
      <xdr:spPr>
        <a:xfrm>
          <a:off x="854898" y="251930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72</xdr:row>
      <xdr:rowOff>38100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AB9D1E3-ACA6-DE4A-82E4-25EBB3DB5660}"/>
            </a:ext>
          </a:extLst>
        </xdr:cNvPr>
        <xdr:cNvSpPr txBox="1"/>
      </xdr:nvSpPr>
      <xdr:spPr>
        <a:xfrm>
          <a:off x="854898" y="251930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73</xdr:row>
      <xdr:rowOff>38100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09E22EC-C8C9-2A4C-BB72-485D805BA1A2}"/>
            </a:ext>
          </a:extLst>
        </xdr:cNvPr>
        <xdr:cNvSpPr txBox="1"/>
      </xdr:nvSpPr>
      <xdr:spPr>
        <a:xfrm>
          <a:off x="854898" y="27192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73</xdr:row>
      <xdr:rowOff>38100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10C3449-444E-3645-A387-FC265B6C0BA0}"/>
            </a:ext>
          </a:extLst>
        </xdr:cNvPr>
        <xdr:cNvSpPr txBox="1"/>
      </xdr:nvSpPr>
      <xdr:spPr>
        <a:xfrm>
          <a:off x="854898" y="27192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74</xdr:row>
      <xdr:rowOff>38100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0EE664F-58A8-3540-B9C8-02282F3E85AE}"/>
            </a:ext>
          </a:extLst>
        </xdr:cNvPr>
        <xdr:cNvSpPr txBox="1"/>
      </xdr:nvSpPr>
      <xdr:spPr>
        <a:xfrm>
          <a:off x="854898" y="291911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69</xdr:row>
      <xdr:rowOff>38100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E2D9C3B-C714-5641-9624-64389DD68E48}"/>
            </a:ext>
          </a:extLst>
        </xdr:cNvPr>
        <xdr:cNvSpPr txBox="1"/>
      </xdr:nvSpPr>
      <xdr:spPr>
        <a:xfrm>
          <a:off x="31750" y="1371411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70</xdr:row>
      <xdr:rowOff>38100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685D032-0C7B-1047-8F81-89894E570A20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70</xdr:row>
      <xdr:rowOff>38100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AD16356-CC9C-DA4A-BEDA-772998F04655}"/>
            </a:ext>
          </a:extLst>
        </xdr:cNvPr>
        <xdr:cNvSpPr txBox="1"/>
      </xdr:nvSpPr>
      <xdr:spPr>
        <a:xfrm>
          <a:off x="31750" y="1371411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71</xdr:row>
      <xdr:rowOff>38100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4BEC196-51B1-A248-B5FD-F5857F396C58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71</xdr:row>
      <xdr:rowOff>38100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AF43E65-AD1A-1A4B-964B-967CBB282FDF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71</xdr:row>
      <xdr:rowOff>38100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7111403-8E17-4644-A10E-8AEF0C081681}"/>
            </a:ext>
          </a:extLst>
        </xdr:cNvPr>
        <xdr:cNvSpPr txBox="1"/>
      </xdr:nvSpPr>
      <xdr:spPr>
        <a:xfrm>
          <a:off x="31750" y="1371411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72</xdr:row>
      <xdr:rowOff>38100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408EC11-3E7F-DB49-8A8C-34A318E06D7E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72</xdr:row>
      <xdr:rowOff>38100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1CB8E6E-76FA-3744-B489-B726685EC1AE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72</xdr:row>
      <xdr:rowOff>38100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BB6B655-1D3F-734D-B032-B63DABFA1F7C}"/>
            </a:ext>
          </a:extLst>
        </xdr:cNvPr>
        <xdr:cNvSpPr txBox="1"/>
      </xdr:nvSpPr>
      <xdr:spPr>
        <a:xfrm>
          <a:off x="31750" y="1371411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73</xdr:row>
      <xdr:rowOff>38100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C71AC04-EFC6-3144-BA1F-4B59E2DF950A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73</xdr:row>
      <xdr:rowOff>38100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BBBD06E-DB7F-2E41-9AEF-6FB8C7A075A2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73</xdr:row>
      <xdr:rowOff>38100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5174D69-7708-1D4F-8447-A2D356A5FD5E}"/>
            </a:ext>
          </a:extLst>
        </xdr:cNvPr>
        <xdr:cNvSpPr txBox="1"/>
      </xdr:nvSpPr>
      <xdr:spPr>
        <a:xfrm>
          <a:off x="31750" y="1371411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74</xdr:row>
      <xdr:rowOff>38100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B35DF1A-E12E-4E4A-932E-431B40CD1EA3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0</xdr:col>
      <xdr:colOff>31750</xdr:colOff>
      <xdr:row>74</xdr:row>
      <xdr:rowOff>38100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C5B11E2-4A7E-3F4B-BFAD-27A9B1D49CBA}"/>
            </a:ext>
          </a:extLst>
        </xdr:cNvPr>
        <xdr:cNvSpPr txBox="1"/>
      </xdr:nvSpPr>
      <xdr:spPr>
        <a:xfrm>
          <a:off x="31750" y="139140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twoCellAnchor>
    <xdr:from>
      <xdr:col>3</xdr:col>
      <xdr:colOff>412750</xdr:colOff>
      <xdr:row>69</xdr:row>
      <xdr:rowOff>27751</xdr:rowOff>
    </xdr:from>
    <xdr:to>
      <xdr:col>9</xdr:col>
      <xdr:colOff>45861</xdr:colOff>
      <xdr:row>82</xdr:row>
      <xdr:rowOff>172155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42A7557-4102-B246-9942-9446B1F8D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448028</xdr:colOff>
      <xdr:row>84</xdr:row>
      <xdr:rowOff>63029</xdr:rowOff>
    </xdr:from>
    <xdr:to>
      <xdr:col>9</xdr:col>
      <xdr:colOff>81139</xdr:colOff>
      <xdr:row>98</xdr:row>
      <xdr:rowOff>7525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928412A-3AD3-594E-8F60-CAAD74FEF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782979</xdr:colOff>
      <xdr:row>13</xdr:row>
      <xdr:rowOff>154481</xdr:rowOff>
    </xdr:from>
    <xdr:to>
      <xdr:col>11</xdr:col>
      <xdr:colOff>387868</xdr:colOff>
      <xdr:row>27</xdr:row>
      <xdr:rowOff>17683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B25CF90-BC2F-C548-8746-E1CF35260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630505</xdr:colOff>
      <xdr:row>0</xdr:row>
      <xdr:rowOff>162516</xdr:rowOff>
    </xdr:from>
    <xdr:to>
      <xdr:col>10</xdr:col>
      <xdr:colOff>194734</xdr:colOff>
      <xdr:row>10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8D855-F133-1C47-AF69-D31825802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630503</xdr:colOff>
      <xdr:row>28</xdr:row>
      <xdr:rowOff>5171</xdr:rowOff>
    </xdr:from>
    <xdr:to>
      <xdr:col>6</xdr:col>
      <xdr:colOff>279848</xdr:colOff>
      <xdr:row>41</xdr:row>
      <xdr:rowOff>118459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D6C4A7-F282-5D40-A9FB-5BD65BBA3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C853-D2B7-9244-AE1B-C6C958A4BC4A}">
  <dimension ref="A1:E91"/>
  <sheetViews>
    <sheetView tabSelected="1" topLeftCell="A14" zoomScale="113" workbookViewId="0">
      <selection activeCell="J31" sqref="J31"/>
    </sheetView>
  </sheetViews>
  <sheetFormatPr baseColWidth="10" defaultRowHeight="16" x14ac:dyDescent="0.2"/>
  <sheetData>
    <row r="1" spans="1:5" ht="17" thickBot="1" x14ac:dyDescent="0.25">
      <c r="A1" t="s">
        <v>0</v>
      </c>
      <c r="B1" t="s">
        <v>1</v>
      </c>
      <c r="D1" t="s">
        <v>4</v>
      </c>
      <c r="E1" t="s">
        <v>5</v>
      </c>
    </row>
    <row r="2" spans="1:5" ht="17" thickBot="1" x14ac:dyDescent="0.25">
      <c r="A2" s="1">
        <v>4.5</v>
      </c>
      <c r="B2" s="1">
        <v>30.84</v>
      </c>
      <c r="D2" cm="1">
        <f t="array" ref="D2:E7">A2:B7/100</f>
        <v>4.4999999999999998E-2</v>
      </c>
      <c r="E2">
        <v>0.30840000000000001</v>
      </c>
    </row>
    <row r="3" spans="1:5" ht="17" thickBot="1" x14ac:dyDescent="0.25">
      <c r="A3" s="2">
        <v>5.5</v>
      </c>
      <c r="B3" s="2">
        <v>33.72</v>
      </c>
      <c r="D3">
        <v>5.5E-2</v>
      </c>
      <c r="E3">
        <v>0.3372</v>
      </c>
    </row>
    <row r="4" spans="1:5" ht="17" thickBot="1" x14ac:dyDescent="0.25">
      <c r="A4" s="2">
        <v>6.7</v>
      </c>
      <c r="B4" s="2">
        <v>38.56</v>
      </c>
      <c r="D4">
        <v>6.7000000000000004E-2</v>
      </c>
      <c r="E4">
        <v>0.3856</v>
      </c>
    </row>
    <row r="5" spans="1:5" ht="17" thickBot="1" x14ac:dyDescent="0.25">
      <c r="A5" s="2">
        <v>8</v>
      </c>
      <c r="B5" s="2">
        <v>43.24</v>
      </c>
      <c r="D5">
        <v>0.08</v>
      </c>
      <c r="E5">
        <v>0.43240000000000001</v>
      </c>
    </row>
    <row r="6" spans="1:5" ht="17" thickBot="1" x14ac:dyDescent="0.25">
      <c r="A6" s="2">
        <v>9.6</v>
      </c>
      <c r="B6" s="2">
        <v>46.68</v>
      </c>
      <c r="D6">
        <v>9.6000000000000002E-2</v>
      </c>
      <c r="E6">
        <v>0.46679999999999999</v>
      </c>
    </row>
    <row r="7" spans="1:5" ht="17" thickBot="1" x14ac:dyDescent="0.25">
      <c r="A7" s="2">
        <v>3.7</v>
      </c>
      <c r="B7" s="2">
        <v>28</v>
      </c>
      <c r="D7">
        <v>3.7000000000000005E-2</v>
      </c>
      <c r="E7">
        <v>0.28000000000000003</v>
      </c>
    </row>
    <row r="9" spans="1:5" x14ac:dyDescent="0.2">
      <c r="A9" t="s">
        <v>0</v>
      </c>
      <c r="B9" s="3" t="s">
        <v>3</v>
      </c>
      <c r="D9" t="s">
        <v>4</v>
      </c>
      <c r="E9" t="s">
        <v>6</v>
      </c>
    </row>
    <row r="10" spans="1:5" x14ac:dyDescent="0.2">
      <c r="A10">
        <f>A2</f>
        <v>4.5</v>
      </c>
      <c r="B10">
        <f>SQRT(B2)</f>
        <v>5.5533773507659285</v>
      </c>
      <c r="D10" cm="1">
        <f t="array" ref="D10:D15">D2:D7</f>
        <v>4.4999999999999998E-2</v>
      </c>
      <c r="E10" cm="1">
        <f t="array" ref="E10:E15">SQRT(E2:E7)</f>
        <v>0.55533773507659279</v>
      </c>
    </row>
    <row r="11" spans="1:5" x14ac:dyDescent="0.2">
      <c r="A11">
        <f t="shared" ref="A11:A15" si="0">A3</f>
        <v>5.5</v>
      </c>
      <c r="B11">
        <f t="shared" ref="B11:B15" si="1">SQRT(B3)</f>
        <v>5.8068924563831903</v>
      </c>
      <c r="D11">
        <v>5.5E-2</v>
      </c>
      <c r="E11">
        <v>0.58068924563831903</v>
      </c>
    </row>
    <row r="12" spans="1:5" x14ac:dyDescent="0.2">
      <c r="A12">
        <f t="shared" si="0"/>
        <v>6.7</v>
      </c>
      <c r="B12">
        <f t="shared" si="1"/>
        <v>6.2096698785040099</v>
      </c>
      <c r="D12">
        <v>6.7000000000000004E-2</v>
      </c>
      <c r="E12">
        <v>0.62096698785040094</v>
      </c>
    </row>
    <row r="13" spans="1:5" x14ac:dyDescent="0.2">
      <c r="A13">
        <f t="shared" si="0"/>
        <v>8</v>
      </c>
      <c r="B13">
        <f t="shared" si="1"/>
        <v>6.5757128891094387</v>
      </c>
      <c r="D13">
        <v>0.08</v>
      </c>
      <c r="E13">
        <v>0.65757128891094385</v>
      </c>
    </row>
    <row r="14" spans="1:5" x14ac:dyDescent="0.2">
      <c r="A14">
        <f t="shared" si="0"/>
        <v>9.6</v>
      </c>
      <c r="B14">
        <f t="shared" si="1"/>
        <v>6.832276341015489</v>
      </c>
      <c r="D14">
        <v>9.6000000000000002E-2</v>
      </c>
      <c r="E14">
        <v>0.68322763410154885</v>
      </c>
    </row>
    <row r="15" spans="1:5" x14ac:dyDescent="0.2">
      <c r="A15">
        <f t="shared" si="0"/>
        <v>3.7</v>
      </c>
      <c r="B15">
        <f t="shared" si="1"/>
        <v>5.2915026221291814</v>
      </c>
      <c r="D15">
        <v>3.7000000000000005E-2</v>
      </c>
      <c r="E15">
        <v>0.52915026221291817</v>
      </c>
    </row>
    <row r="17" spans="1:5" x14ac:dyDescent="0.2">
      <c r="A17" t="s">
        <v>0</v>
      </c>
      <c r="B17" s="3" t="s">
        <v>2</v>
      </c>
      <c r="D17" t="s">
        <v>4</v>
      </c>
      <c r="E17" t="s">
        <v>2</v>
      </c>
    </row>
    <row r="18" spans="1:5" x14ac:dyDescent="0.2">
      <c r="A18">
        <f>A2</f>
        <v>4.5</v>
      </c>
      <c r="B18">
        <f>B2^2</f>
        <v>951.10559999999998</v>
      </c>
      <c r="D18" cm="1">
        <f t="array" ref="D18:D23">_xlfn.ANCHORARRAY(D10)</f>
        <v>4.4999999999999998E-2</v>
      </c>
      <c r="E18" cm="1">
        <f t="array" ref="E18:E23">E2:E7^2</f>
        <v>9.5110560000000011E-2</v>
      </c>
    </row>
    <row r="19" spans="1:5" x14ac:dyDescent="0.2">
      <c r="A19">
        <f t="shared" ref="A19:A23" si="2">A3</f>
        <v>5.5</v>
      </c>
      <c r="B19">
        <f t="shared" ref="B19:B23" si="3">B3^2</f>
        <v>1137.0383999999999</v>
      </c>
      <c r="D19">
        <v>5.5E-2</v>
      </c>
      <c r="E19">
        <v>0.11370384</v>
      </c>
    </row>
    <row r="20" spans="1:5" x14ac:dyDescent="0.2">
      <c r="A20">
        <f t="shared" si="2"/>
        <v>6.7</v>
      </c>
      <c r="B20">
        <f t="shared" si="3"/>
        <v>1486.8736000000001</v>
      </c>
      <c r="D20">
        <v>6.7000000000000004E-2</v>
      </c>
      <c r="E20">
        <v>0.14868735999999999</v>
      </c>
    </row>
    <row r="21" spans="1:5" x14ac:dyDescent="0.2">
      <c r="A21">
        <f t="shared" si="2"/>
        <v>8</v>
      </c>
      <c r="B21">
        <f t="shared" si="3"/>
        <v>1869.6976000000002</v>
      </c>
      <c r="D21">
        <v>0.08</v>
      </c>
      <c r="E21">
        <v>0.18696976000000001</v>
      </c>
    </row>
    <row r="22" spans="1:5" x14ac:dyDescent="0.2">
      <c r="A22">
        <f t="shared" si="2"/>
        <v>9.6</v>
      </c>
      <c r="B22">
        <f t="shared" si="3"/>
        <v>2179.0223999999998</v>
      </c>
      <c r="D22">
        <v>9.6000000000000002E-2</v>
      </c>
      <c r="E22">
        <v>0.21790224</v>
      </c>
    </row>
    <row r="23" spans="1:5" x14ac:dyDescent="0.2">
      <c r="A23">
        <f t="shared" si="2"/>
        <v>3.7</v>
      </c>
      <c r="B23">
        <f t="shared" si="3"/>
        <v>784</v>
      </c>
      <c r="D23">
        <v>3.7000000000000005E-2</v>
      </c>
      <c r="E23">
        <v>7.8400000000000011E-2</v>
      </c>
    </row>
    <row r="69" spans="1:2" x14ac:dyDescent="0.2">
      <c r="A69" s="3" t="s">
        <v>1</v>
      </c>
      <c r="B69" t="s">
        <v>0</v>
      </c>
    </row>
    <row r="70" spans="1:2" x14ac:dyDescent="0.2">
      <c r="A70">
        <f>B2</f>
        <v>30.84</v>
      </c>
      <c r="B70">
        <f t="shared" ref="B70:B75" si="4">A10</f>
        <v>4.5</v>
      </c>
    </row>
    <row r="71" spans="1:2" x14ac:dyDescent="0.2">
      <c r="A71">
        <f t="shared" ref="A71:A75" si="5">B3</f>
        <v>33.72</v>
      </c>
      <c r="B71">
        <f t="shared" si="4"/>
        <v>5.5</v>
      </c>
    </row>
    <row r="72" spans="1:2" x14ac:dyDescent="0.2">
      <c r="A72">
        <f t="shared" si="5"/>
        <v>38.56</v>
      </c>
      <c r="B72">
        <f t="shared" si="4"/>
        <v>6.7</v>
      </c>
    </row>
    <row r="73" spans="1:2" x14ac:dyDescent="0.2">
      <c r="A73">
        <f t="shared" si="5"/>
        <v>43.24</v>
      </c>
      <c r="B73">
        <f t="shared" si="4"/>
        <v>8</v>
      </c>
    </row>
    <row r="74" spans="1:2" x14ac:dyDescent="0.2">
      <c r="A74">
        <f t="shared" si="5"/>
        <v>46.68</v>
      </c>
      <c r="B74">
        <f t="shared" si="4"/>
        <v>9.6</v>
      </c>
    </row>
    <row r="75" spans="1:2" x14ac:dyDescent="0.2">
      <c r="A75">
        <f t="shared" si="5"/>
        <v>28</v>
      </c>
      <c r="B75">
        <f t="shared" si="4"/>
        <v>3.7</v>
      </c>
    </row>
    <row r="77" spans="1:2" x14ac:dyDescent="0.2">
      <c r="A77" t="s">
        <v>3</v>
      </c>
      <c r="B77" t="s">
        <v>0</v>
      </c>
    </row>
    <row r="78" spans="1:2" x14ac:dyDescent="0.2">
      <c r="A78">
        <f>SQRT(A70)</f>
        <v>5.5533773507659285</v>
      </c>
      <c r="B78">
        <f>B70</f>
        <v>4.5</v>
      </c>
    </row>
    <row r="79" spans="1:2" x14ac:dyDescent="0.2">
      <c r="A79">
        <f t="shared" ref="A79:A83" si="6">SQRT(A71)</f>
        <v>5.8068924563831903</v>
      </c>
      <c r="B79">
        <f t="shared" ref="B79:B83" si="7">B71</f>
        <v>5.5</v>
      </c>
    </row>
    <row r="80" spans="1:2" x14ac:dyDescent="0.2">
      <c r="A80">
        <f t="shared" si="6"/>
        <v>6.2096698785040099</v>
      </c>
      <c r="B80">
        <f t="shared" si="7"/>
        <v>6.7</v>
      </c>
    </row>
    <row r="81" spans="1:2" x14ac:dyDescent="0.2">
      <c r="A81">
        <f t="shared" si="6"/>
        <v>6.5757128891094387</v>
      </c>
      <c r="B81">
        <f t="shared" si="7"/>
        <v>8</v>
      </c>
    </row>
    <row r="82" spans="1:2" x14ac:dyDescent="0.2">
      <c r="A82">
        <f t="shared" si="6"/>
        <v>6.832276341015489</v>
      </c>
      <c r="B82">
        <f t="shared" si="7"/>
        <v>9.6</v>
      </c>
    </row>
    <row r="83" spans="1:2" x14ac:dyDescent="0.2">
      <c r="A83">
        <f t="shared" si="6"/>
        <v>5.2915026221291814</v>
      </c>
      <c r="B83">
        <f t="shared" si="7"/>
        <v>3.7</v>
      </c>
    </row>
    <row r="85" spans="1:2" x14ac:dyDescent="0.2">
      <c r="A85" t="s">
        <v>2</v>
      </c>
      <c r="B85" t="s">
        <v>0</v>
      </c>
    </row>
    <row r="86" spans="1:2" x14ac:dyDescent="0.2">
      <c r="A86">
        <f>A70^2</f>
        <v>951.10559999999998</v>
      </c>
      <c r="B86">
        <f>B70</f>
        <v>4.5</v>
      </c>
    </row>
    <row r="87" spans="1:2" x14ac:dyDescent="0.2">
      <c r="A87">
        <f t="shared" ref="A87:A91" si="8">A71^2</f>
        <v>1137.0383999999999</v>
      </c>
      <c r="B87">
        <f t="shared" ref="B87:B91" si="9">B71</f>
        <v>5.5</v>
      </c>
    </row>
    <row r="88" spans="1:2" x14ac:dyDescent="0.2">
      <c r="A88">
        <f t="shared" si="8"/>
        <v>1486.8736000000001</v>
      </c>
      <c r="B88">
        <f t="shared" si="9"/>
        <v>6.7</v>
      </c>
    </row>
    <row r="89" spans="1:2" x14ac:dyDescent="0.2">
      <c r="A89">
        <f t="shared" si="8"/>
        <v>1869.6976000000002</v>
      </c>
      <c r="B89">
        <f t="shared" si="9"/>
        <v>8</v>
      </c>
    </row>
    <row r="90" spans="1:2" x14ac:dyDescent="0.2">
      <c r="A90">
        <f t="shared" si="8"/>
        <v>2179.0223999999998</v>
      </c>
      <c r="B90">
        <f t="shared" si="9"/>
        <v>9.6</v>
      </c>
    </row>
    <row r="91" spans="1:2" x14ac:dyDescent="0.2">
      <c r="A91">
        <f t="shared" si="8"/>
        <v>784</v>
      </c>
      <c r="B91">
        <f t="shared" si="9"/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2022-02-23T09:39:08Z</dcterms:created>
  <dcterms:modified xsi:type="dcterms:W3CDTF">2022-02-23T12:16:18Z</dcterms:modified>
</cp:coreProperties>
</file>