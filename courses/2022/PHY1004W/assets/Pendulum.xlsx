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cristaudo/Desktop/"/>
    </mc:Choice>
  </mc:AlternateContent>
  <xr:revisionPtr revIDLastSave="0" documentId="8_{B23CFB62-E608-7140-91FD-964A8B75D664}" xr6:coauthVersionLast="47" xr6:coauthVersionMax="47" xr10:uidLastSave="{00000000-0000-0000-0000-000000000000}"/>
  <bookViews>
    <workbookView xWindow="480" yWindow="500" windowWidth="28040" windowHeight="16000" xr2:uid="{0707A5C7-6F14-C14D-AE11-4A2E5113CB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97" i="1" l="1"/>
  <c r="AD98" i="1"/>
  <c r="AD99" i="1"/>
  <c r="AD100" i="1"/>
  <c r="AD101" i="1"/>
  <c r="AD96" i="1"/>
  <c r="AA89" i="1"/>
  <c r="AA90" i="1"/>
  <c r="AA91" i="1"/>
  <c r="AA92" i="1"/>
  <c r="AA88" i="1"/>
  <c r="AF81" i="1"/>
  <c r="AF82" i="1"/>
  <c r="AF83" i="1"/>
  <c r="AF84" i="1"/>
  <c r="AF80" i="1"/>
  <c r="Z52" i="1"/>
  <c r="Y22" i="1"/>
  <c r="Z30" i="1"/>
  <c r="Z45" i="1"/>
  <c r="T69" i="1"/>
  <c r="T70" i="1"/>
  <c r="T71" i="1"/>
  <c r="T72" i="1"/>
  <c r="T68" i="1"/>
  <c r="M53" i="1"/>
  <c r="M54" i="1"/>
  <c r="M55" i="1"/>
  <c r="M56" i="1"/>
  <c r="M52" i="1"/>
  <c r="U31" i="1"/>
  <c r="U38" i="1"/>
  <c r="U46" i="1"/>
  <c r="U52" i="1"/>
  <c r="L53" i="1"/>
  <c r="L54" i="1"/>
  <c r="L55" i="1"/>
  <c r="L56" i="1"/>
  <c r="L52" i="1"/>
  <c r="K53" i="1"/>
  <c r="K54" i="1"/>
  <c r="K55" i="1"/>
  <c r="K56" i="1"/>
  <c r="K52" i="1"/>
  <c r="U45" i="1"/>
  <c r="U37" i="1"/>
  <c r="U30" i="1"/>
  <c r="U22" i="1"/>
</calcChain>
</file>

<file path=xl/sharedStrings.xml><?xml version="1.0" encoding="utf-8"?>
<sst xmlns="http://schemas.openxmlformats.org/spreadsheetml/2006/main" count="91" uniqueCount="63">
  <si>
    <t>L</t>
  </si>
  <si>
    <t>1m</t>
  </si>
  <si>
    <t>from 99.9</t>
  </si>
  <si>
    <t>to 100.1</t>
  </si>
  <si>
    <t>r</t>
  </si>
  <si>
    <t>0.495</t>
  </si>
  <si>
    <t>r (m)</t>
  </si>
  <si>
    <t>Time for 5</t>
  </si>
  <si>
    <t>8.07</t>
  </si>
  <si>
    <t>8.00</t>
  </si>
  <si>
    <t>8.06</t>
  </si>
  <si>
    <t>8.08</t>
  </si>
  <si>
    <t>8.12</t>
  </si>
  <si>
    <t>0.445</t>
  </si>
  <si>
    <t>Time for 3</t>
  </si>
  <si>
    <t>4.6</t>
  </si>
  <si>
    <t>4.64</t>
  </si>
  <si>
    <t>4.72</t>
  </si>
  <si>
    <t>4.73</t>
  </si>
  <si>
    <t>Time for 2</t>
  </si>
  <si>
    <t>0.395</t>
  </si>
  <si>
    <t>3.05</t>
  </si>
  <si>
    <t>3.11</t>
  </si>
  <si>
    <t>3.06</t>
  </si>
  <si>
    <t>3.15</t>
  </si>
  <si>
    <t>3.10</t>
  </si>
  <si>
    <t>2.94</t>
  </si>
  <si>
    <t>0.345</t>
  </si>
  <si>
    <t>2.99</t>
  </si>
  <si>
    <t>2.97</t>
  </si>
  <si>
    <t>2.98</t>
  </si>
  <si>
    <t>3.03</t>
  </si>
  <si>
    <t>0.295</t>
  </si>
  <si>
    <t>3.01</t>
  </si>
  <si>
    <t>2.91</t>
  </si>
  <si>
    <t>2.89</t>
  </si>
  <si>
    <t>3.14</t>
  </si>
  <si>
    <t>3.07</t>
  </si>
  <si>
    <t>1.66</t>
  </si>
  <si>
    <t>1.65</t>
  </si>
  <si>
    <t>1.67</t>
  </si>
  <si>
    <t>1.64</t>
  </si>
  <si>
    <t>1.71</t>
  </si>
  <si>
    <t>1.77</t>
  </si>
  <si>
    <t>1.80</t>
  </si>
  <si>
    <t>1.79</t>
  </si>
  <si>
    <t>1.56</t>
  </si>
  <si>
    <t>1.52</t>
  </si>
  <si>
    <t>1.62</t>
  </si>
  <si>
    <t>1.40</t>
  </si>
  <si>
    <t>1.47</t>
  </si>
  <si>
    <t>1.50</t>
  </si>
  <si>
    <t>1.42</t>
  </si>
  <si>
    <t>1.45</t>
  </si>
  <si>
    <t>1.54</t>
  </si>
  <si>
    <t>1.51</t>
  </si>
  <si>
    <t>1.53</t>
  </si>
  <si>
    <t xml:space="preserve">T^2r </t>
  </si>
  <si>
    <t>from 99,9</t>
  </si>
  <si>
    <t>to 100,1</t>
  </si>
  <si>
    <t>T^2r</t>
  </si>
  <si>
    <t>T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</si>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</sst>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Sheet1!$H$52:$H$56</c:f>
              <c:numCache>
                <c:formatCode>General</c:formatCode>
                <c:ptCount val="5"/>
                <c:pt idx="0">
                  <c:v>0.495</c:v>
                </c:pt>
                <c:pt idx="1">
                  <c:v>0.44500000000000001</c:v>
                </c:pt>
                <c:pt idx="2">
                  <c:v>0.39500000000000002</c:v>
                </c:pt>
                <c:pt idx="3">
                  <c:v>0.34499999999999997</c:v>
                </c:pt>
                <c:pt idx="4">
                  <c:v>0.29499999999999998</c:v>
                </c:pt>
              </c:numCache>
            </c:numRef>
          </c:xVal>
          <c:yVal>
            <c:numRef>
              <c:f>Sheet1!$I$52:$I$56</c:f>
              <c:numCache>
                <c:formatCode>General</c:formatCode>
                <c:ptCount val="5"/>
                <c:pt idx="0">
                  <c:v>1.756</c:v>
                </c:pt>
                <c:pt idx="1">
                  <c:v>1.6080000000000001</c:v>
                </c:pt>
                <c:pt idx="2">
                  <c:v>1.544</c:v>
                </c:pt>
                <c:pt idx="3">
                  <c:v>1.454</c:v>
                </c:pt>
                <c:pt idx="4">
                  <c:v>1.45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3E-7449-8383-21ED19748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489248"/>
        <c:axId val="806515904"/>
      </c:scatterChart>
      <c:valAx>
        <c:axId val="80648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515904"/>
        <c:crosses val="autoZero"/>
        <c:crossBetween val="midCat"/>
      </c:valAx>
      <c:valAx>
        <c:axId val="80651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48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594925634295717E-2"/>
          <c:y val="0.19486111111111112"/>
          <c:w val="0.86817585301837275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Sheet1!$H$73:$H$77</c:f>
              <c:numCache>
                <c:formatCode>General</c:formatCode>
                <c:ptCount val="5"/>
                <c:pt idx="0">
                  <c:v>0.495</c:v>
                </c:pt>
                <c:pt idx="1">
                  <c:v>0.44500000000000001</c:v>
                </c:pt>
                <c:pt idx="2">
                  <c:v>0.39500000000000002</c:v>
                </c:pt>
                <c:pt idx="3">
                  <c:v>0.34499999999999997</c:v>
                </c:pt>
                <c:pt idx="4">
                  <c:v>0.29499999999999998</c:v>
                </c:pt>
              </c:numCache>
            </c:numRef>
          </c:xVal>
          <c:yVal>
            <c:numRef>
              <c:f>Sheet1!$I$73:$I$77</c:f>
              <c:numCache>
                <c:formatCode>General</c:formatCode>
                <c:ptCount val="5"/>
                <c:pt idx="0">
                  <c:v>1.756</c:v>
                </c:pt>
                <c:pt idx="1">
                  <c:v>1.6659999999999999</c:v>
                </c:pt>
                <c:pt idx="2">
                  <c:v>1.544</c:v>
                </c:pt>
                <c:pt idx="3">
                  <c:v>1.502</c:v>
                </c:pt>
                <c:pt idx="4">
                  <c:v>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32-0E40-A7B4-D49E54EF3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680128"/>
        <c:axId val="808681776"/>
      </c:scatterChart>
      <c:valAx>
        <c:axId val="80868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681776"/>
        <c:crosses val="autoZero"/>
        <c:crossBetween val="midCat"/>
      </c:valAx>
      <c:valAx>
        <c:axId val="80868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68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Sheet1!$L$52:$L$56</c:f>
              <c:numCache>
                <c:formatCode>General</c:formatCode>
                <c:ptCount val="5"/>
                <c:pt idx="0">
                  <c:v>0.24502499999999999</c:v>
                </c:pt>
                <c:pt idx="1">
                  <c:v>0.19802500000000001</c:v>
                </c:pt>
                <c:pt idx="2">
                  <c:v>0.15602500000000002</c:v>
                </c:pt>
                <c:pt idx="3">
                  <c:v>0.11902499999999998</c:v>
                </c:pt>
                <c:pt idx="4">
                  <c:v>8.7024999999999991E-2</c:v>
                </c:pt>
              </c:numCache>
            </c:numRef>
          </c:xVal>
          <c:yVal>
            <c:numRef>
              <c:f>Sheet1!$M$52:$M$56</c:f>
              <c:numCache>
                <c:formatCode>General</c:formatCode>
                <c:ptCount val="5"/>
                <c:pt idx="0">
                  <c:v>1.5263503199999999</c:v>
                </c:pt>
                <c:pt idx="1">
                  <c:v>1.1506204800000002</c:v>
                </c:pt>
                <c:pt idx="2">
                  <c:v>0.94165472000000017</c:v>
                </c:pt>
                <c:pt idx="3">
                  <c:v>0.72937001999999984</c:v>
                </c:pt>
                <c:pt idx="4">
                  <c:v>0.6202375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2A-BA48-9105-220FC5371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799072"/>
        <c:axId val="807815056"/>
      </c:scatterChart>
      <c:valAx>
        <c:axId val="80779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15056"/>
        <c:crosses val="autoZero"/>
        <c:crossBetween val="midCat"/>
      </c:valAx>
      <c:valAx>
        <c:axId val="80781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9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Sheet1!$T$68:$T$73</c:f>
              <c:numCache>
                <c:formatCode>General</c:formatCode>
                <c:ptCount val="6"/>
                <c:pt idx="0">
                  <c:v>0.24502499999999999</c:v>
                </c:pt>
                <c:pt idx="1">
                  <c:v>0.19802500000000001</c:v>
                </c:pt>
                <c:pt idx="2">
                  <c:v>0.15602500000000002</c:v>
                </c:pt>
                <c:pt idx="3">
                  <c:v>0.11902499999999998</c:v>
                </c:pt>
                <c:pt idx="4">
                  <c:v>8.7024999999999991E-2</c:v>
                </c:pt>
              </c:numCache>
            </c:numRef>
          </c:xVal>
          <c:yVal>
            <c:numRef>
              <c:f>Sheet1!$U$68:$U$73</c:f>
              <c:numCache>
                <c:formatCode>General</c:formatCode>
                <c:ptCount val="6"/>
                <c:pt idx="0">
                  <c:v>1.41</c:v>
                </c:pt>
                <c:pt idx="1">
                  <c:v>1.1499999999999999</c:v>
                </c:pt>
                <c:pt idx="2">
                  <c:v>0.98599999999999999</c:v>
                </c:pt>
                <c:pt idx="3">
                  <c:v>0.78700000000000003</c:v>
                </c:pt>
                <c:pt idx="4">
                  <c:v>0.66400000000000003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7B-674C-93C5-CE5C2DD04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873168"/>
        <c:axId val="807874848"/>
      </c:scatterChart>
      <c:valAx>
        <c:axId val="80787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74848"/>
        <c:crosses val="autoZero"/>
        <c:crossBetween val="midCat"/>
      </c:valAx>
      <c:valAx>
        <c:axId val="80787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7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Sheet1!$AD$96:$AD$100</c:f>
              <c:numCache>
                <c:formatCode>General</c:formatCode>
                <c:ptCount val="5"/>
                <c:pt idx="0">
                  <c:v>1.3151655</c:v>
                </c:pt>
                <c:pt idx="1">
                  <c:v>1.1250045000000002</c:v>
                </c:pt>
                <c:pt idx="2">
                  <c:v>0.98607800000000023</c:v>
                </c:pt>
                <c:pt idx="3">
                  <c:v>0.82886250000000006</c:v>
                </c:pt>
                <c:pt idx="4">
                  <c:v>0.68156799999999995</c:v>
                </c:pt>
              </c:numCache>
            </c:numRef>
          </c:xVal>
          <c:yVal>
            <c:numRef>
              <c:f>Sheet1!$AE$96:$AE$100</c:f>
              <c:numCache>
                <c:formatCode>General</c:formatCode>
                <c:ptCount val="5"/>
                <c:pt idx="0">
                  <c:v>0.495</c:v>
                </c:pt>
                <c:pt idx="1">
                  <c:v>0.44500000000000001</c:v>
                </c:pt>
                <c:pt idx="2">
                  <c:v>0.39500000000000002</c:v>
                </c:pt>
                <c:pt idx="3">
                  <c:v>0.34499999999999997</c:v>
                </c:pt>
                <c:pt idx="4">
                  <c:v>0.29499999999999998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F6-EA44-ABF1-9CFBC1AE2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077999"/>
        <c:axId val="1235079647"/>
      </c:scatterChart>
      <c:valAx>
        <c:axId val="123507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079647"/>
        <c:crosses val="autoZero"/>
        <c:crossBetween val="midCat"/>
      </c:valAx>
      <c:valAx>
        <c:axId val="123507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07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310030</xdr:colOff>
      <xdr:row>54</xdr:row>
      <xdr:rowOff>178546</xdr:rowOff>
    </xdr:from>
    <xdr:to>
      <xdr:col>5</xdr:col>
      <xdr:colOff>773206</xdr:colOff>
      <xdr:row>68</xdr:row>
      <xdr:rowOff>45570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9D05F9-C9CE-31B4-8A94-2DBF5BD6E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85913</xdr:colOff>
      <xdr:row>70</xdr:row>
      <xdr:rowOff>103841</xdr:rowOff>
    </xdr:from>
    <xdr:to>
      <xdr:col>5</xdr:col>
      <xdr:colOff>549089</xdr:colOff>
      <xdr:row>83</xdr:row>
      <xdr:rowOff>176305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B9E75C-8834-CDF7-A4C0-0D194F778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459442</xdr:colOff>
      <xdr:row>59</xdr:row>
      <xdr:rowOff>47812</xdr:rowOff>
    </xdr:from>
    <xdr:to>
      <xdr:col>15</xdr:col>
      <xdr:colOff>100853</xdr:colOff>
      <xdr:row>72</xdr:row>
      <xdr:rowOff>120276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F6E237-FEF4-608F-95A9-14CA51925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683560</xdr:colOff>
      <xdr:row>76</xdr:row>
      <xdr:rowOff>122518</xdr:rowOff>
    </xdr:from>
    <xdr:to>
      <xdr:col>22</xdr:col>
      <xdr:colOff>324971</xdr:colOff>
      <xdr:row>89</xdr:row>
      <xdr:rowOff>194982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5485B9-7778-C9CE-2FB6-72B63104B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440765</xdr:colOff>
      <xdr:row>100</xdr:row>
      <xdr:rowOff>197224</xdr:rowOff>
    </xdr:from>
    <xdr:to>
      <xdr:col>24</xdr:col>
      <xdr:colOff>82177</xdr:colOff>
      <xdr:row>114</xdr:row>
      <xdr:rowOff>64247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C8B0C3-0A25-53C1-3D6A-E4BB03257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3B7D-AFF5-B54B-9509-0BC97E2165B4}">
  <dimension ref="B6:AG101"/>
  <sheetViews>
    <sheetView tabSelected="1" topLeftCell="K70" zoomScale="68" workbookViewId="0">
      <selection activeCell="AD96" sqref="AD96:AE100"/>
    </sheetView>
  </sheetViews>
  <sheetFormatPr baseColWidth="10" defaultRowHeight="16" x14ac:dyDescent="0.2"/>
  <sheetData>
    <row r="6" spans="2:10" x14ac:dyDescent="0.2">
      <c r="C6" t="s">
        <v>7</v>
      </c>
      <c r="D6" t="s">
        <v>6</v>
      </c>
      <c r="H6" t="s">
        <v>0</v>
      </c>
    </row>
    <row r="7" spans="2:10" x14ac:dyDescent="0.2">
      <c r="B7" s="1"/>
      <c r="C7" s="1" t="s">
        <v>8</v>
      </c>
      <c r="D7" t="s">
        <v>5</v>
      </c>
      <c r="G7" t="s">
        <v>42</v>
      </c>
      <c r="H7" t="s">
        <v>1</v>
      </c>
      <c r="I7" t="s">
        <v>2</v>
      </c>
      <c r="J7" t="s">
        <v>3</v>
      </c>
    </row>
    <row r="8" spans="2:10" x14ac:dyDescent="0.2">
      <c r="C8" t="s">
        <v>9</v>
      </c>
      <c r="G8" t="s">
        <v>43</v>
      </c>
    </row>
    <row r="9" spans="2:10" x14ac:dyDescent="0.2">
      <c r="C9" t="s">
        <v>10</v>
      </c>
      <c r="G9" t="s">
        <v>44</v>
      </c>
    </row>
    <row r="10" spans="2:10" x14ac:dyDescent="0.2">
      <c r="C10" t="s">
        <v>11</v>
      </c>
      <c r="G10" t="s">
        <v>42</v>
      </c>
    </row>
    <row r="11" spans="2:10" x14ac:dyDescent="0.2">
      <c r="C11" t="s">
        <v>12</v>
      </c>
      <c r="G11" t="s">
        <v>45</v>
      </c>
    </row>
    <row r="12" spans="2:10" x14ac:dyDescent="0.2">
      <c r="C12" t="s">
        <v>12</v>
      </c>
    </row>
    <row r="14" spans="2:10" x14ac:dyDescent="0.2">
      <c r="C14" t="s">
        <v>14</v>
      </c>
      <c r="D14" t="s">
        <v>13</v>
      </c>
    </row>
    <row r="15" spans="2:10" x14ac:dyDescent="0.2">
      <c r="C15" t="s">
        <v>15</v>
      </c>
      <c r="E15" t="s">
        <v>36</v>
      </c>
      <c r="G15" t="s">
        <v>38</v>
      </c>
    </row>
    <row r="16" spans="2:10" x14ac:dyDescent="0.2">
      <c r="C16" t="s">
        <v>16</v>
      </c>
      <c r="E16" t="s">
        <v>37</v>
      </c>
      <c r="G16" t="s">
        <v>39</v>
      </c>
    </row>
    <row r="17" spans="3:29" x14ac:dyDescent="0.2">
      <c r="C17" t="s">
        <v>17</v>
      </c>
      <c r="E17" t="s">
        <v>21</v>
      </c>
      <c r="G17" t="s">
        <v>40</v>
      </c>
    </row>
    <row r="18" spans="3:29" x14ac:dyDescent="0.2">
      <c r="C18" t="s">
        <v>17</v>
      </c>
      <c r="G18" t="s">
        <v>41</v>
      </c>
    </row>
    <row r="19" spans="3:29" x14ac:dyDescent="0.2">
      <c r="C19" t="s">
        <v>18</v>
      </c>
      <c r="G19" t="s">
        <v>42</v>
      </c>
    </row>
    <row r="21" spans="3:29" x14ac:dyDescent="0.2">
      <c r="C21" t="s">
        <v>19</v>
      </c>
      <c r="D21" t="s">
        <v>20</v>
      </c>
      <c r="R21" t="s">
        <v>7</v>
      </c>
      <c r="S21" t="s">
        <v>6</v>
      </c>
      <c r="AA21" t="s">
        <v>0</v>
      </c>
    </row>
    <row r="22" spans="3:29" x14ac:dyDescent="0.2">
      <c r="C22" t="s">
        <v>21</v>
      </c>
      <c r="G22" t="s">
        <v>46</v>
      </c>
      <c r="R22" s="1">
        <v>8.07</v>
      </c>
      <c r="S22">
        <v>0.495</v>
      </c>
      <c r="U22">
        <f>AVERAGE(V22:V26)</f>
        <v>1.7560000000000002</v>
      </c>
      <c r="V22">
        <v>1.71</v>
      </c>
      <c r="X22">
        <v>1.67</v>
      </c>
      <c r="Y22">
        <f>AVERAGE(X22:X26)</f>
        <v>1.6859999999999999</v>
      </c>
      <c r="AA22" t="s">
        <v>1</v>
      </c>
      <c r="AB22" t="s">
        <v>58</v>
      </c>
      <c r="AC22" t="s">
        <v>59</v>
      </c>
    </row>
    <row r="23" spans="3:29" x14ac:dyDescent="0.2">
      <c r="C23" t="s">
        <v>22</v>
      </c>
      <c r="G23" t="s">
        <v>47</v>
      </c>
      <c r="R23">
        <v>8</v>
      </c>
      <c r="V23">
        <v>1.77</v>
      </c>
      <c r="X23">
        <v>1.71</v>
      </c>
    </row>
    <row r="24" spans="3:29" x14ac:dyDescent="0.2">
      <c r="C24" t="s">
        <v>23</v>
      </c>
      <c r="G24" t="s">
        <v>48</v>
      </c>
      <c r="R24">
        <v>8.06</v>
      </c>
      <c r="V24">
        <v>1.8</v>
      </c>
      <c r="X24">
        <v>1.71</v>
      </c>
    </row>
    <row r="25" spans="3:29" x14ac:dyDescent="0.2">
      <c r="C25" t="s">
        <v>24</v>
      </c>
      <c r="G25" t="s">
        <v>46</v>
      </c>
      <c r="R25">
        <v>8.08</v>
      </c>
      <c r="V25">
        <v>1.71</v>
      </c>
      <c r="X25">
        <v>1.68</v>
      </c>
    </row>
    <row r="26" spans="3:29" x14ac:dyDescent="0.2">
      <c r="C26" t="s">
        <v>25</v>
      </c>
      <c r="G26" t="s">
        <v>38</v>
      </c>
      <c r="R26">
        <v>8.1199999999999992</v>
      </c>
      <c r="V26">
        <v>1.79</v>
      </c>
      <c r="X26">
        <v>1.66</v>
      </c>
    </row>
    <row r="27" spans="3:29" x14ac:dyDescent="0.2">
      <c r="R27">
        <v>8.1199999999999992</v>
      </c>
    </row>
    <row r="29" spans="3:29" x14ac:dyDescent="0.2">
      <c r="C29" t="s">
        <v>19</v>
      </c>
      <c r="D29" t="s">
        <v>27</v>
      </c>
      <c r="R29" t="s">
        <v>14</v>
      </c>
      <c r="S29">
        <v>0.44500000000000001</v>
      </c>
    </row>
    <row r="30" spans="3:29" x14ac:dyDescent="0.2">
      <c r="C30" t="s">
        <v>26</v>
      </c>
      <c r="G30" t="s">
        <v>56</v>
      </c>
      <c r="I30" t="s">
        <v>57</v>
      </c>
      <c r="R30">
        <v>4.5999999999999996</v>
      </c>
      <c r="T30">
        <v>3.14</v>
      </c>
      <c r="U30">
        <f>AVERAGE(V30:V34)</f>
        <v>1.6659999999999997</v>
      </c>
      <c r="V30">
        <v>1.66</v>
      </c>
      <c r="W30">
        <v>1.62</v>
      </c>
      <c r="X30">
        <v>1.71</v>
      </c>
      <c r="Y30">
        <v>1.62</v>
      </c>
      <c r="Z30">
        <f>AVERAGE(Y30:Y34)</f>
        <v>1.6519999999999999</v>
      </c>
    </row>
    <row r="31" spans="3:29" x14ac:dyDescent="0.2">
      <c r="C31" t="s">
        <v>28</v>
      </c>
      <c r="G31" t="s">
        <v>49</v>
      </c>
      <c r="R31">
        <v>4.6399999999999997</v>
      </c>
      <c r="T31">
        <v>3.07</v>
      </c>
      <c r="U31">
        <f>AVERAGE(W30:W34)</f>
        <v>1.6080000000000001</v>
      </c>
      <c r="V31">
        <v>1.65</v>
      </c>
      <c r="W31">
        <v>1.61</v>
      </c>
      <c r="Y31">
        <v>1.66</v>
      </c>
    </row>
    <row r="32" spans="3:29" x14ac:dyDescent="0.2">
      <c r="C32" t="s">
        <v>29</v>
      </c>
      <c r="G32" t="s">
        <v>50</v>
      </c>
      <c r="R32">
        <v>4.72</v>
      </c>
      <c r="T32">
        <v>3.05</v>
      </c>
      <c r="V32">
        <v>1.67</v>
      </c>
      <c r="W32">
        <v>1.63</v>
      </c>
      <c r="Y32">
        <v>1.67</v>
      </c>
    </row>
    <row r="33" spans="3:26" x14ac:dyDescent="0.2">
      <c r="C33" t="s">
        <v>30</v>
      </c>
      <c r="G33" t="s">
        <v>51</v>
      </c>
      <c r="R33">
        <v>4.72</v>
      </c>
      <c r="V33">
        <v>1.64</v>
      </c>
      <c r="W33">
        <v>1.57</v>
      </c>
      <c r="Y33">
        <v>1.66</v>
      </c>
    </row>
    <row r="34" spans="3:26" x14ac:dyDescent="0.2">
      <c r="C34" t="s">
        <v>31</v>
      </c>
      <c r="G34" t="s">
        <v>52</v>
      </c>
      <c r="R34">
        <v>4.7300000000000004</v>
      </c>
      <c r="V34">
        <v>1.71</v>
      </c>
      <c r="W34">
        <v>1.61</v>
      </c>
      <c r="Y34">
        <v>1.65</v>
      </c>
    </row>
    <row r="36" spans="3:26" x14ac:dyDescent="0.2">
      <c r="C36" t="s">
        <v>19</v>
      </c>
      <c r="D36" t="s">
        <v>32</v>
      </c>
      <c r="R36" t="s">
        <v>19</v>
      </c>
      <c r="S36">
        <v>0.39500000000000002</v>
      </c>
    </row>
    <row r="37" spans="3:26" x14ac:dyDescent="0.2">
      <c r="C37" t="s">
        <v>33</v>
      </c>
      <c r="G37" t="s">
        <v>53</v>
      </c>
      <c r="R37">
        <v>3.05</v>
      </c>
      <c r="U37">
        <f>AVERAGE(V37:V41)</f>
        <v>1.5840000000000001</v>
      </c>
      <c r="V37">
        <v>1.56</v>
      </c>
      <c r="W37">
        <v>1.52</v>
      </c>
    </row>
    <row r="38" spans="3:26" x14ac:dyDescent="0.2">
      <c r="C38" t="s">
        <v>28</v>
      </c>
      <c r="G38" t="s">
        <v>53</v>
      </c>
      <c r="R38">
        <v>3.11</v>
      </c>
      <c r="U38">
        <f>AVERAGE(W37:W41)</f>
        <v>1.544</v>
      </c>
      <c r="V38">
        <v>1.52</v>
      </c>
      <c r="W38">
        <v>1.58</v>
      </c>
    </row>
    <row r="39" spans="3:26" x14ac:dyDescent="0.2">
      <c r="C39" t="s">
        <v>30</v>
      </c>
      <c r="G39" t="s">
        <v>54</v>
      </c>
      <c r="R39">
        <v>3.06</v>
      </c>
      <c r="V39">
        <v>1.62</v>
      </c>
      <c r="W39">
        <v>1.54</v>
      </c>
    </row>
    <row r="40" spans="3:26" x14ac:dyDescent="0.2">
      <c r="C40" t="s">
        <v>34</v>
      </c>
      <c r="G40" t="s">
        <v>49</v>
      </c>
      <c r="R40">
        <v>3.15</v>
      </c>
      <c r="V40">
        <v>1.56</v>
      </c>
      <c r="W40">
        <v>1.56</v>
      </c>
    </row>
    <row r="41" spans="3:26" x14ac:dyDescent="0.2">
      <c r="C41" t="s">
        <v>30</v>
      </c>
      <c r="G41" t="s">
        <v>55</v>
      </c>
      <c r="R41">
        <v>3.1</v>
      </c>
      <c r="V41">
        <v>1.66</v>
      </c>
      <c r="W41">
        <v>1.52</v>
      </c>
    </row>
    <row r="42" spans="3:26" x14ac:dyDescent="0.2">
      <c r="C42" t="s">
        <v>35</v>
      </c>
    </row>
    <row r="44" spans="3:26" x14ac:dyDescent="0.2">
      <c r="R44" t="s">
        <v>19</v>
      </c>
      <c r="S44">
        <v>0.34499999999999997</v>
      </c>
    </row>
    <row r="45" spans="3:26" x14ac:dyDescent="0.2">
      <c r="R45">
        <v>2.94</v>
      </c>
      <c r="U45">
        <f>AVERAGE(V45:V49)</f>
        <v>1.464</v>
      </c>
      <c r="V45">
        <v>1.53</v>
      </c>
      <c r="W45">
        <v>1.4</v>
      </c>
      <c r="X45" t="s">
        <v>57</v>
      </c>
      <c r="Y45">
        <v>1.52</v>
      </c>
      <c r="Z45">
        <f>AVERAGE(Y45:Y49)</f>
        <v>1.512</v>
      </c>
    </row>
    <row r="46" spans="3:26" x14ac:dyDescent="0.2">
      <c r="R46">
        <v>2.99</v>
      </c>
      <c r="U46">
        <f>AVERAGE(W45:W49)</f>
        <v>1.454</v>
      </c>
      <c r="V46">
        <v>1.4</v>
      </c>
      <c r="W46">
        <v>1.5</v>
      </c>
      <c r="Y46">
        <v>1.54</v>
      </c>
    </row>
    <row r="47" spans="3:26" x14ac:dyDescent="0.2">
      <c r="R47">
        <v>2.97</v>
      </c>
      <c r="V47">
        <v>1.47</v>
      </c>
      <c r="W47">
        <v>1.46</v>
      </c>
      <c r="Y47">
        <v>1.53</v>
      </c>
    </row>
    <row r="48" spans="3:26" x14ac:dyDescent="0.2">
      <c r="R48">
        <v>2.98</v>
      </c>
      <c r="V48">
        <v>1.5</v>
      </c>
      <c r="W48">
        <v>1.42</v>
      </c>
      <c r="Y48">
        <v>1.5</v>
      </c>
    </row>
    <row r="49" spans="8:26" x14ac:dyDescent="0.2">
      <c r="R49">
        <v>3.03</v>
      </c>
      <c r="V49">
        <v>1.42</v>
      </c>
      <c r="W49">
        <v>1.49</v>
      </c>
      <c r="Y49">
        <v>1.47</v>
      </c>
    </row>
    <row r="50" spans="8:26" x14ac:dyDescent="0.2">
      <c r="H50" t="s">
        <v>4</v>
      </c>
      <c r="I50" t="s">
        <v>61</v>
      </c>
    </row>
    <row r="51" spans="8:26" x14ac:dyDescent="0.2">
      <c r="K51" t="s">
        <v>60</v>
      </c>
      <c r="L51" t="s">
        <v>62</v>
      </c>
      <c r="R51" t="s">
        <v>19</v>
      </c>
      <c r="S51">
        <v>0.29499999999999998</v>
      </c>
    </row>
    <row r="52" spans="8:26" x14ac:dyDescent="0.2">
      <c r="H52">
        <v>0.495</v>
      </c>
      <c r="I52">
        <v>1.756</v>
      </c>
      <c r="K52">
        <f>I52^2*H52</f>
        <v>1.5263503199999999</v>
      </c>
      <c r="L52">
        <f>H52^2</f>
        <v>0.24502499999999999</v>
      </c>
      <c r="M52">
        <f>I52^2*H52</f>
        <v>1.5263503199999999</v>
      </c>
      <c r="R52">
        <v>3.01</v>
      </c>
      <c r="U52">
        <f>AVERAGE(W52:W56)</f>
        <v>1.4499999999999997</v>
      </c>
      <c r="V52">
        <v>1.45</v>
      </c>
      <c r="W52">
        <v>1.45</v>
      </c>
      <c r="Y52">
        <v>1.52</v>
      </c>
      <c r="Z52">
        <f>AVERAGE(Y52:Y56)</f>
        <v>1.5</v>
      </c>
    </row>
    <row r="53" spans="8:26" x14ac:dyDescent="0.2">
      <c r="H53">
        <v>0.44500000000000001</v>
      </c>
      <c r="I53">
        <v>1.6080000000000001</v>
      </c>
      <c r="K53">
        <f t="shared" ref="K53:K56" si="0">I53^2*H53</f>
        <v>1.1506204800000002</v>
      </c>
      <c r="L53">
        <f t="shared" ref="L53:L56" si="1">H53^2</f>
        <v>0.19802500000000001</v>
      </c>
      <c r="M53">
        <f t="shared" ref="M53:M56" si="2">I53^2*H53</f>
        <v>1.1506204800000002</v>
      </c>
      <c r="N53">
        <v>1.1506204799999999</v>
      </c>
      <c r="R53">
        <v>2.99</v>
      </c>
      <c r="V53">
        <v>1.45</v>
      </c>
      <c r="W53">
        <v>1.45</v>
      </c>
      <c r="X53">
        <v>1.54</v>
      </c>
      <c r="Y53">
        <v>1.45</v>
      </c>
    </row>
    <row r="54" spans="8:26" x14ac:dyDescent="0.2">
      <c r="H54">
        <v>0.39500000000000002</v>
      </c>
      <c r="I54">
        <v>1.544</v>
      </c>
      <c r="K54">
        <f t="shared" si="0"/>
        <v>0.94165472000000017</v>
      </c>
      <c r="L54">
        <f t="shared" si="1"/>
        <v>0.15602500000000002</v>
      </c>
      <c r="M54">
        <f t="shared" si="2"/>
        <v>0.94165472000000017</v>
      </c>
      <c r="N54">
        <v>0.94165471999999995</v>
      </c>
      <c r="R54">
        <v>2.98</v>
      </c>
      <c r="V54">
        <v>1.54</v>
      </c>
      <c r="W54">
        <v>1.48</v>
      </c>
      <c r="Y54">
        <v>1.5</v>
      </c>
    </row>
    <row r="55" spans="8:26" x14ac:dyDescent="0.2">
      <c r="H55">
        <v>0.34499999999999997</v>
      </c>
      <c r="I55">
        <v>1.454</v>
      </c>
      <c r="K55">
        <f t="shared" si="0"/>
        <v>0.72937001999999984</v>
      </c>
      <c r="L55">
        <f t="shared" si="1"/>
        <v>0.11902499999999998</v>
      </c>
      <c r="M55">
        <f t="shared" si="2"/>
        <v>0.72937001999999984</v>
      </c>
      <c r="R55">
        <v>2.91</v>
      </c>
      <c r="V55">
        <v>1.4</v>
      </c>
      <c r="W55">
        <v>1.4</v>
      </c>
      <c r="Y55">
        <v>1.52</v>
      </c>
    </row>
    <row r="56" spans="8:26" x14ac:dyDescent="0.2">
      <c r="H56">
        <v>0.29499999999999998</v>
      </c>
      <c r="I56">
        <v>1.45</v>
      </c>
      <c r="K56">
        <f t="shared" si="0"/>
        <v>0.6202375</v>
      </c>
      <c r="L56">
        <f t="shared" si="1"/>
        <v>8.7024999999999991E-2</v>
      </c>
      <c r="M56">
        <f t="shared" si="2"/>
        <v>0.6202375</v>
      </c>
      <c r="R56">
        <v>2.98</v>
      </c>
      <c r="V56">
        <v>1.51</v>
      </c>
      <c r="W56">
        <v>1.47</v>
      </c>
      <c r="Y56">
        <v>1.51</v>
      </c>
    </row>
    <row r="57" spans="8:26" x14ac:dyDescent="0.2">
      <c r="R57">
        <v>2.89</v>
      </c>
    </row>
    <row r="62" spans="8:26" x14ac:dyDescent="0.2">
      <c r="T62">
        <v>1.1506204799999999</v>
      </c>
      <c r="U62">
        <v>1.2351224199999999</v>
      </c>
    </row>
    <row r="63" spans="8:26" x14ac:dyDescent="0.2">
      <c r="T63">
        <v>0.94165471999999995</v>
      </c>
      <c r="U63">
        <v>0.99107712000000003</v>
      </c>
    </row>
    <row r="66" spans="8:33" x14ac:dyDescent="0.2">
      <c r="Q66" t="s">
        <v>4</v>
      </c>
    </row>
    <row r="67" spans="8:33" x14ac:dyDescent="0.2">
      <c r="T67" t="s">
        <v>62</v>
      </c>
      <c r="U67" t="s">
        <v>60</v>
      </c>
    </row>
    <row r="68" spans="8:33" x14ac:dyDescent="0.2">
      <c r="Q68">
        <v>0.495</v>
      </c>
      <c r="R68">
        <v>1.69</v>
      </c>
      <c r="T68">
        <f>Q68^2</f>
        <v>0.24502499999999999</v>
      </c>
      <c r="U68">
        <v>1.41</v>
      </c>
    </row>
    <row r="69" spans="8:33" x14ac:dyDescent="0.2">
      <c r="Q69">
        <v>0.44500000000000001</v>
      </c>
      <c r="R69">
        <v>1.65</v>
      </c>
      <c r="T69">
        <f t="shared" ref="T69:T72" si="3">Q69^2</f>
        <v>0.19802500000000001</v>
      </c>
      <c r="U69">
        <v>1.1499999999999999</v>
      </c>
    </row>
    <row r="70" spans="8:33" ht="17" thickBot="1" x14ac:dyDescent="0.25">
      <c r="Q70">
        <v>0.39500000000000002</v>
      </c>
      <c r="R70">
        <v>1.58</v>
      </c>
      <c r="T70">
        <f t="shared" si="3"/>
        <v>0.15602500000000002</v>
      </c>
      <c r="U70">
        <v>0.98599999999999999</v>
      </c>
    </row>
    <row r="71" spans="8:33" ht="17" thickBot="1" x14ac:dyDescent="0.25">
      <c r="H71" t="s">
        <v>4</v>
      </c>
      <c r="I71" t="s">
        <v>61</v>
      </c>
      <c r="Q71">
        <v>0.34499999999999997</v>
      </c>
      <c r="R71">
        <v>1.512</v>
      </c>
      <c r="T71">
        <f t="shared" si="3"/>
        <v>0.11902499999999998</v>
      </c>
      <c r="U71">
        <v>0.78700000000000003</v>
      </c>
      <c r="X71">
        <v>1.464</v>
      </c>
      <c r="AC71" s="2">
        <v>0.495</v>
      </c>
      <c r="AD71" s="3">
        <v>0.44500000000000001</v>
      </c>
      <c r="AE71" s="3">
        <v>0.39500000000000002</v>
      </c>
      <c r="AF71" s="3">
        <v>0.34499999999999997</v>
      </c>
      <c r="AG71" s="3">
        <v>0.29499999999999998</v>
      </c>
    </row>
    <row r="72" spans="8:33" ht="17" thickBot="1" x14ac:dyDescent="0.25">
      <c r="Q72">
        <v>0.29499999999999998</v>
      </c>
      <c r="R72">
        <v>1.5</v>
      </c>
      <c r="T72">
        <f t="shared" si="3"/>
        <v>8.7024999999999991E-2</v>
      </c>
      <c r="U72">
        <v>0.66400000000000003</v>
      </c>
      <c r="X72">
        <v>1.45</v>
      </c>
      <c r="AC72" s="4">
        <v>1.69</v>
      </c>
      <c r="AD72" s="5">
        <v>1.65</v>
      </c>
      <c r="AE72" s="5">
        <v>1.58</v>
      </c>
      <c r="AF72" s="5">
        <v>1.51</v>
      </c>
      <c r="AG72" s="2">
        <v>1.5</v>
      </c>
    </row>
    <row r="73" spans="8:33" x14ac:dyDescent="0.2">
      <c r="H73">
        <v>0.495</v>
      </c>
      <c r="I73">
        <v>1.756</v>
      </c>
    </row>
    <row r="74" spans="8:33" x14ac:dyDescent="0.2">
      <c r="H74">
        <v>0.44500000000000001</v>
      </c>
      <c r="I74">
        <v>1.6659999999999999</v>
      </c>
    </row>
    <row r="75" spans="8:33" x14ac:dyDescent="0.2">
      <c r="H75">
        <v>0.39500000000000002</v>
      </c>
      <c r="I75">
        <v>1.544</v>
      </c>
    </row>
    <row r="76" spans="8:33" x14ac:dyDescent="0.2">
      <c r="H76">
        <v>0.34499999999999997</v>
      </c>
      <c r="I76">
        <v>1.502</v>
      </c>
    </row>
    <row r="77" spans="8:33" x14ac:dyDescent="0.2">
      <c r="H77">
        <v>0.29499999999999998</v>
      </c>
      <c r="I77">
        <v>1.47</v>
      </c>
    </row>
    <row r="79" spans="8:33" x14ac:dyDescent="0.2">
      <c r="Y79">
        <v>5.2239000000000004</v>
      </c>
    </row>
    <row r="80" spans="8:33" x14ac:dyDescent="0.2">
      <c r="AC80">
        <v>0.495</v>
      </c>
      <c r="AD80">
        <v>1.78</v>
      </c>
      <c r="AF80">
        <f>AD80^2*AC80</f>
        <v>1.5683580000000001</v>
      </c>
    </row>
    <row r="81" spans="24:32" x14ac:dyDescent="0.2">
      <c r="AC81">
        <v>0.44500000000000001</v>
      </c>
      <c r="AD81">
        <v>1.73</v>
      </c>
      <c r="AF81">
        <f t="shared" ref="AF81:AF84" si="4">AD81^2*AC81</f>
        <v>1.3318405</v>
      </c>
    </row>
    <row r="82" spans="24:32" x14ac:dyDescent="0.2">
      <c r="AC82">
        <v>0.39500000000000002</v>
      </c>
      <c r="AD82">
        <v>1.66</v>
      </c>
      <c r="AF82">
        <f t="shared" si="4"/>
        <v>1.088462</v>
      </c>
    </row>
    <row r="83" spans="24:32" x14ac:dyDescent="0.2">
      <c r="AC83">
        <v>0.34499999999999997</v>
      </c>
      <c r="AD83">
        <v>1.59</v>
      </c>
      <c r="AF83">
        <f t="shared" si="4"/>
        <v>0.87219449999999998</v>
      </c>
    </row>
    <row r="84" spans="24:32" x14ac:dyDescent="0.2">
      <c r="AC84">
        <v>0.29499999999999998</v>
      </c>
      <c r="AD84">
        <v>1.58</v>
      </c>
      <c r="AF84">
        <f t="shared" si="4"/>
        <v>0.73643800000000004</v>
      </c>
    </row>
    <row r="88" spans="24:32" x14ac:dyDescent="0.2">
      <c r="X88">
        <v>0.495</v>
      </c>
      <c r="Y88">
        <v>1.69</v>
      </c>
      <c r="AA88">
        <f>Y88^2*X88</f>
        <v>1.4137694999999999</v>
      </c>
    </row>
    <row r="89" spans="24:32" x14ac:dyDescent="0.2">
      <c r="X89">
        <v>0.44500000000000001</v>
      </c>
      <c r="Y89">
        <v>1.65</v>
      </c>
      <c r="AA89">
        <f t="shared" ref="AA89:AA92" si="5">Y89^2*X89</f>
        <v>1.2115125</v>
      </c>
    </row>
    <row r="90" spans="24:32" x14ac:dyDescent="0.2">
      <c r="X90">
        <v>0.39500000000000002</v>
      </c>
      <c r="Y90">
        <v>1.58</v>
      </c>
      <c r="AA90">
        <f t="shared" si="5"/>
        <v>0.98607800000000023</v>
      </c>
    </row>
    <row r="91" spans="24:32" x14ac:dyDescent="0.2">
      <c r="X91">
        <v>0.34499999999999997</v>
      </c>
      <c r="Y91">
        <v>1.55</v>
      </c>
      <c r="AA91">
        <f t="shared" si="5"/>
        <v>0.82886250000000006</v>
      </c>
    </row>
    <row r="92" spans="24:32" x14ac:dyDescent="0.2">
      <c r="X92">
        <v>0.29499999999999998</v>
      </c>
      <c r="Y92">
        <v>1.55</v>
      </c>
      <c r="AA92">
        <f t="shared" si="5"/>
        <v>0.70873750000000002</v>
      </c>
    </row>
    <row r="96" spans="24:32" x14ac:dyDescent="0.2">
      <c r="AA96">
        <v>0.495</v>
      </c>
      <c r="AB96">
        <v>1.63</v>
      </c>
      <c r="AD96">
        <f>AB96^2 * AA96</f>
        <v>1.3151655</v>
      </c>
      <c r="AE96">
        <v>0.495</v>
      </c>
    </row>
    <row r="97" spans="27:31" x14ac:dyDescent="0.2">
      <c r="AA97">
        <v>0.44500000000000001</v>
      </c>
      <c r="AB97">
        <v>1.59</v>
      </c>
      <c r="AD97">
        <f t="shared" ref="AD97:AD101" si="6">AB97^2 * AA97</f>
        <v>1.1250045000000002</v>
      </c>
      <c r="AE97">
        <v>0.44500000000000001</v>
      </c>
    </row>
    <row r="98" spans="27:31" x14ac:dyDescent="0.2">
      <c r="AA98">
        <v>0.39500000000000002</v>
      </c>
      <c r="AB98">
        <v>1.58</v>
      </c>
      <c r="AD98">
        <f t="shared" si="6"/>
        <v>0.98607800000000023</v>
      </c>
      <c r="AE98">
        <v>0.39500000000000002</v>
      </c>
    </row>
    <row r="99" spans="27:31" x14ac:dyDescent="0.2">
      <c r="AA99">
        <v>0.34499999999999997</v>
      </c>
      <c r="AB99">
        <v>1.55</v>
      </c>
      <c r="AD99">
        <f t="shared" si="6"/>
        <v>0.82886250000000006</v>
      </c>
      <c r="AE99">
        <v>0.34499999999999997</v>
      </c>
    </row>
    <row r="100" spans="27:31" x14ac:dyDescent="0.2">
      <c r="AA100">
        <v>0.29499999999999998</v>
      </c>
      <c r="AB100">
        <v>1.52</v>
      </c>
      <c r="AD100">
        <f t="shared" si="6"/>
        <v>0.68156799999999995</v>
      </c>
      <c r="AE100">
        <v>0.29499999999999998</v>
      </c>
    </row>
    <row r="101" spans="27:31" x14ac:dyDescent="0.2">
      <c r="AD101">
        <f t="shared" si="6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2022-05-10T11:00:31Z</dcterms:created>
  <dcterms:modified xsi:type="dcterms:W3CDTF">2022-05-10T13:59:03Z</dcterms:modified>
</cp:coreProperties>
</file>