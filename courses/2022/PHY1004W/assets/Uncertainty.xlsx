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tcloud-my.sharepoint.com/personal/crsale010_myuct_ac_za/Documents/"/>
    </mc:Choice>
  </mc:AlternateContent>
  <xr:revisionPtr revIDLastSave="0" documentId="8_{8ABC2795-A518-3C4B-B96E-D298EC5B9D8A}" xr6:coauthVersionLast="47" xr6:coauthVersionMax="47" xr10:uidLastSave="{00000000-0000-0000-0000-000000000000}"/>
  <bookViews>
    <workbookView xWindow="14480" yWindow="940" windowWidth="28040" windowHeight="16000" xr2:uid="{ED23B4BD-A4EA-9440-8189-D60CE77F13C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56" i="1" l="1"/>
  <c r="X57" i="1"/>
  <c r="X58" i="1"/>
  <c r="X59" i="1"/>
  <c r="X60" i="1"/>
  <c r="X61" i="1"/>
  <c r="X62" i="1"/>
  <c r="X55" i="1"/>
  <c r="AA56" i="1"/>
  <c r="AA57" i="1"/>
  <c r="AA58" i="1"/>
  <c r="AA59" i="1"/>
  <c r="AA60" i="1"/>
  <c r="AA61" i="1"/>
  <c r="AA62" i="1"/>
  <c r="AA55" i="1"/>
</calcChain>
</file>

<file path=xl/sharedStrings.xml><?xml version="1.0" encoding="utf-8"?>
<sst xmlns="http://schemas.openxmlformats.org/spreadsheetml/2006/main" count="8" uniqueCount="5">
  <si>
    <t>Frequency</t>
  </si>
  <si>
    <t>Oscilloscope</t>
  </si>
  <si>
    <t>u(machine)</t>
  </si>
  <si>
    <t>u(reading)</t>
  </si>
  <si>
    <t>Rectangular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</si>
</sst>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Sheet1!$F$8:$F$15</c:f>
              <c:numCache>
                <c:formatCode>General</c:formatCode>
                <c:ptCount val="8"/>
                <c:pt idx="0">
                  <c:v>0.17799999999999999</c:v>
                </c:pt>
                <c:pt idx="1">
                  <c:v>3.1699999999999999E-2</c:v>
                </c:pt>
                <c:pt idx="2">
                  <c:v>1.5800000000000002E-2</c:v>
                </c:pt>
                <c:pt idx="3">
                  <c:v>4.6899999999999997E-2</c:v>
                </c:pt>
                <c:pt idx="4">
                  <c:v>2.3199999999999998E-2</c:v>
                </c:pt>
                <c:pt idx="5">
                  <c:v>0.10299999999999999</c:v>
                </c:pt>
                <c:pt idx="6">
                  <c:v>1.8100000000000002E-2</c:v>
                </c:pt>
                <c:pt idx="7">
                  <c:v>3.8899999999999997E-2</c:v>
                </c:pt>
              </c:numCache>
            </c:numRef>
          </c:xVal>
          <c:yVal>
            <c:numRef>
              <c:f>Sheet1!$G$8:$G$15</c:f>
              <c:numCache>
                <c:formatCode>General</c:formatCode>
                <c:ptCount val="8"/>
                <c:pt idx="0">
                  <c:v>164.5</c:v>
                </c:pt>
                <c:pt idx="1">
                  <c:v>31.1</c:v>
                </c:pt>
                <c:pt idx="2">
                  <c:v>15.7</c:v>
                </c:pt>
                <c:pt idx="3">
                  <c:v>38.9</c:v>
                </c:pt>
                <c:pt idx="4">
                  <c:v>21.1</c:v>
                </c:pt>
                <c:pt idx="5">
                  <c:v>80.599999999999994</c:v>
                </c:pt>
                <c:pt idx="6">
                  <c:v>17</c:v>
                </c:pt>
                <c:pt idx="7">
                  <c:v>33.299999999999997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90-8D40-B390-7D75FC248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610912"/>
        <c:axId val="549612560"/>
      </c:scatterChart>
      <c:valAx>
        <c:axId val="54961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(Period of the Frequency</a:t>
                </a:r>
                <a:r>
                  <a:rPr lang="en-GB" baseline="0"/>
                  <a:t> generator</a:t>
                </a:r>
                <a:r>
                  <a:rPr lang="en-GB"/>
                  <a:t>)</a:t>
                </a:r>
                <a:r>
                  <a:rPr lang="en-GB" baseline="30000"/>
                  <a:t>2 </a:t>
                </a:r>
                <a:r>
                  <a:rPr lang="en-GB" baseline="0"/>
                  <a:t>(s)</a:t>
                </a:r>
                <a:r>
                  <a:rPr lang="en-GB" sz="1000" b="0" i="0" u="none" strike="noStrike" baseline="30000">
                    <a:effectLst/>
                  </a:rPr>
                  <a:t>2</a:t>
                </a:r>
                <a:r>
                  <a:rPr lang="en-GB" sz="1000" b="0" i="0" u="none" strike="noStrike" baseline="0"/>
                  <a:t> </a:t>
                </a:r>
                <a:endParaRPr lang="en-GB" baseline="30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12560"/>
        <c:crosses val="autoZero"/>
        <c:crossBetween val="midCat"/>
      </c:valAx>
      <c:valAx>
        <c:axId val="54961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0" i="0" u="none" strike="noStrike" baseline="0">
                    <a:effectLst/>
                  </a:rPr>
                  <a:t>(</a:t>
                </a:r>
                <a:r>
                  <a:rPr lang="en-US" sz="1000" b="0" i="0" u="none" strike="noStrike" baseline="0">
                    <a:effectLst/>
                  </a:rPr>
                  <a:t>𝑉</a:t>
                </a:r>
                <a:r>
                  <a:rPr lang="en-ZA" sz="1000" b="0" i="0" u="none" strike="noStrike" baseline="0">
                    <a:effectLst/>
                  </a:rPr>
                  <a:t>_</a:t>
                </a:r>
                <a:r>
                  <a:rPr lang="en-US" sz="1000" b="0" i="0" u="none" strike="noStrike" baseline="0">
                    <a:effectLst/>
                  </a:rPr>
                  <a:t>𝑖𝑛</a:t>
                </a:r>
                <a:r>
                  <a:rPr lang="en-ZA" sz="1000" b="0" i="0" u="none" strike="noStrike" baseline="0">
                    <a:effectLst/>
                  </a:rPr>
                  <a:t>/</a:t>
                </a:r>
                <a:r>
                  <a:rPr lang="en-US" sz="1000" b="0" i="0" u="none" strike="noStrike" baseline="0">
                    <a:effectLst/>
                  </a:rPr>
                  <a:t>𝑉</a:t>
                </a:r>
                <a:r>
                  <a:rPr lang="en-ZA" sz="1000" b="0" i="0" u="none" strike="noStrike" baseline="0">
                    <a:effectLst/>
                  </a:rPr>
                  <a:t>_</a:t>
                </a:r>
                <a:r>
                  <a:rPr lang="en-US" sz="1000" b="0" i="0" u="none" strike="noStrike" baseline="0">
                    <a:effectLst/>
                  </a:rPr>
                  <a:t>𝑅 )</a:t>
                </a:r>
                <a:r>
                  <a:rPr lang="en-ZA" sz="1000" b="0" i="0" u="none" strike="noStrike" baseline="0">
                    <a:effectLst/>
                  </a:rPr>
                  <a:t>^</a:t>
                </a:r>
                <a:r>
                  <a:rPr lang="en-US" sz="1000" b="0" i="0" u="none" strike="noStrike" baseline="0">
                    <a:effectLst/>
                  </a:rPr>
                  <a:t>2</a:t>
                </a:r>
                <a:r>
                  <a:rPr lang="en-ZA" sz="1000" b="0" i="0" u="none" strike="noStrike" baseline="0">
                    <a:effectLst/>
                  </a:rPr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1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Sheet1!$F$39:$F$46</c:f>
              <c:numCache>
                <c:formatCode>General</c:formatCode>
                <c:ptCount val="8"/>
                <c:pt idx="0">
                  <c:v>0.17799999999999999</c:v>
                </c:pt>
                <c:pt idx="1">
                  <c:v>3.1600000000000003E-2</c:v>
                </c:pt>
                <c:pt idx="2">
                  <c:v>1.5699999999999999E-2</c:v>
                </c:pt>
                <c:pt idx="3">
                  <c:v>4.6800000000000001E-2</c:v>
                </c:pt>
                <c:pt idx="4">
                  <c:v>2.3300000000000001E-2</c:v>
                </c:pt>
                <c:pt idx="5">
                  <c:v>0.10299999999999999</c:v>
                </c:pt>
                <c:pt idx="6">
                  <c:v>1.8100000000000002E-2</c:v>
                </c:pt>
                <c:pt idx="7">
                  <c:v>3.8800000000000001E-2</c:v>
                </c:pt>
              </c:numCache>
            </c:numRef>
          </c:xVal>
          <c:yVal>
            <c:numRef>
              <c:f>Sheet1!$G$39:$G$46</c:f>
              <c:numCache>
                <c:formatCode>General</c:formatCode>
                <c:ptCount val="8"/>
                <c:pt idx="0">
                  <c:v>164.5</c:v>
                </c:pt>
                <c:pt idx="1">
                  <c:v>31.1</c:v>
                </c:pt>
                <c:pt idx="2">
                  <c:v>15.7</c:v>
                </c:pt>
                <c:pt idx="3">
                  <c:v>38.9</c:v>
                </c:pt>
                <c:pt idx="4">
                  <c:v>21.1</c:v>
                </c:pt>
                <c:pt idx="5">
                  <c:v>80.599999999999994</c:v>
                </c:pt>
                <c:pt idx="6">
                  <c:v>17</c:v>
                </c:pt>
                <c:pt idx="7">
                  <c:v>33.299999999999997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C-0140-9B15-DBC422EE1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839840"/>
        <c:axId val="549841520"/>
      </c:scatterChart>
      <c:valAx>
        <c:axId val="54983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200" b="0" i="0" u="sng" baseline="0">
                    <a:effectLst/>
                  </a:rPr>
                  <a:t>(Period displayed on the oscilloscope)</a:t>
                </a:r>
                <a:r>
                  <a:rPr lang="en-GB" sz="1200" b="0" i="0" u="sng" baseline="30000">
                    <a:effectLst/>
                  </a:rPr>
                  <a:t>2 </a:t>
                </a:r>
                <a:r>
                  <a:rPr lang="en-GB" sz="1200" b="0" i="0" u="sng" baseline="0">
                    <a:effectLst/>
                  </a:rPr>
                  <a:t>(s)</a:t>
                </a:r>
                <a:r>
                  <a:rPr lang="en-GB" sz="1200" b="0" i="0" u="sng" baseline="30000">
                    <a:effectLst/>
                  </a:rPr>
                  <a:t>2</a:t>
                </a:r>
                <a:r>
                  <a:rPr lang="en-GB" sz="1200" b="0" i="0" u="sng" baseline="0">
                    <a:effectLst/>
                  </a:rPr>
                  <a:t> </a:t>
                </a:r>
                <a:endParaRPr lang="en-ZA" sz="700" u="sng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1520"/>
        <c:crosses val="autoZero"/>
        <c:crossBetween val="midCat"/>
      </c:valAx>
      <c:valAx>
        <c:axId val="5498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emf"/><Relationship Id="rId18" Type="http://schemas.openxmlformats.org/officeDocument/2006/relationships/image" Target="../media/image17.emf"/><Relationship Id="rId26" Type="http://schemas.openxmlformats.org/officeDocument/2006/relationships/chart" Target="../charts/chart2.xml"/><Relationship Id="rId39" Type="http://schemas.openxmlformats.org/officeDocument/2006/relationships/image" Target="../media/image37.emf"/><Relationship Id="rId21" Type="http://schemas.openxmlformats.org/officeDocument/2006/relationships/image" Target="../media/image20.emf"/><Relationship Id="rId34" Type="http://schemas.openxmlformats.org/officeDocument/2006/relationships/image" Target="../media/image32.emf"/><Relationship Id="rId42" Type="http://schemas.openxmlformats.org/officeDocument/2006/relationships/image" Target="../media/image40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20" Type="http://schemas.openxmlformats.org/officeDocument/2006/relationships/image" Target="../media/image19.emf"/><Relationship Id="rId29" Type="http://schemas.openxmlformats.org/officeDocument/2006/relationships/image" Target="../media/image27.emf"/><Relationship Id="rId41" Type="http://schemas.openxmlformats.org/officeDocument/2006/relationships/image" Target="../media/image39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3.emf"/><Relationship Id="rId32" Type="http://schemas.openxmlformats.org/officeDocument/2006/relationships/image" Target="../media/image30.emf"/><Relationship Id="rId37" Type="http://schemas.openxmlformats.org/officeDocument/2006/relationships/image" Target="../media/image35.emf"/><Relationship Id="rId40" Type="http://schemas.openxmlformats.org/officeDocument/2006/relationships/image" Target="../media/image38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23" Type="http://schemas.openxmlformats.org/officeDocument/2006/relationships/image" Target="../media/image22.emf"/><Relationship Id="rId28" Type="http://schemas.openxmlformats.org/officeDocument/2006/relationships/image" Target="../media/image26.emf"/><Relationship Id="rId36" Type="http://schemas.openxmlformats.org/officeDocument/2006/relationships/image" Target="../media/image34.emf"/><Relationship Id="rId10" Type="http://schemas.openxmlformats.org/officeDocument/2006/relationships/image" Target="../media/image10.emf"/><Relationship Id="rId19" Type="http://schemas.openxmlformats.org/officeDocument/2006/relationships/image" Target="../media/image18.emf"/><Relationship Id="rId31" Type="http://schemas.openxmlformats.org/officeDocument/2006/relationships/image" Target="../media/image29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Relationship Id="rId22" Type="http://schemas.openxmlformats.org/officeDocument/2006/relationships/image" Target="../media/image21.emf"/><Relationship Id="rId27" Type="http://schemas.openxmlformats.org/officeDocument/2006/relationships/image" Target="../media/image25.emf"/><Relationship Id="rId30" Type="http://schemas.openxmlformats.org/officeDocument/2006/relationships/image" Target="../media/image28.emf"/><Relationship Id="rId35" Type="http://schemas.openxmlformats.org/officeDocument/2006/relationships/image" Target="../media/image33.emf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chart" Target="../charts/chart1.xml"/><Relationship Id="rId25" Type="http://schemas.openxmlformats.org/officeDocument/2006/relationships/image" Target="../media/image24.emf"/><Relationship Id="rId33" Type="http://schemas.openxmlformats.org/officeDocument/2006/relationships/image" Target="../media/image31.emf"/><Relationship Id="rId38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</xdr:row>
      <xdr:rowOff>0</xdr:rowOff>
    </xdr:from>
    <xdr:to>
      <xdr:col>3</xdr:col>
      <xdr:colOff>342900</xdr:colOff>
      <xdr:row>7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14687-B524-D6CC-A0B0-A21AC940C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4351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266700</xdr:colOff>
      <xdr:row>8</xdr:row>
      <xdr:rowOff>165100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627327-D58D-AFAA-3119-EFE73E1C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6510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266700</xdr:colOff>
      <xdr:row>9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2A71AF-ADC6-C180-B8DB-CC15D3ADA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8669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266700</xdr:colOff>
      <xdr:row>10</xdr:row>
      <xdr:rowOff>165100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2306D4-289A-59A4-5EDB-E1662F66C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0828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11</xdr:row>
      <xdr:rowOff>0</xdr:rowOff>
    </xdr:from>
    <xdr:to>
      <xdr:col>3</xdr:col>
      <xdr:colOff>266700</xdr:colOff>
      <xdr:row>11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C59ED68-26C1-0945-5BF5-7141340D0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2987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12</xdr:row>
      <xdr:rowOff>0</xdr:rowOff>
    </xdr:from>
    <xdr:to>
      <xdr:col>3</xdr:col>
      <xdr:colOff>266700</xdr:colOff>
      <xdr:row>12</xdr:row>
      <xdr:rowOff>165100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C56660F-C26C-0EF6-1C7C-895DE425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5146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13</xdr:row>
      <xdr:rowOff>0</xdr:rowOff>
    </xdr:from>
    <xdr:to>
      <xdr:col>3</xdr:col>
      <xdr:colOff>266700</xdr:colOff>
      <xdr:row>13</xdr:row>
      <xdr:rowOff>165100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1B425BE-1B60-606B-78F2-3E5EC9EFE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7305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0</xdr:colOff>
      <xdr:row>14</xdr:row>
      <xdr:rowOff>0</xdr:rowOff>
    </xdr:from>
    <xdr:to>
      <xdr:col>3</xdr:col>
      <xdr:colOff>266700</xdr:colOff>
      <xdr:row>14</xdr:row>
      <xdr:rowOff>165100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4353AA-ABF2-E34E-38C8-567234823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9464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7</xdr:row>
      <xdr:rowOff>0</xdr:rowOff>
    </xdr:from>
    <xdr:to>
      <xdr:col>10</xdr:col>
      <xdr:colOff>266700</xdr:colOff>
      <xdr:row>7</xdr:row>
      <xdr:rowOff>165100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B75F269-7FF1-80CD-86F5-0139492E2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4351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8</xdr:row>
      <xdr:rowOff>0</xdr:rowOff>
    </xdr:from>
    <xdr:to>
      <xdr:col>10</xdr:col>
      <xdr:colOff>266700</xdr:colOff>
      <xdr:row>8</xdr:row>
      <xdr:rowOff>165100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15302CE-3401-4646-13CF-FA81BACC1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6510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9</xdr:row>
      <xdr:rowOff>0</xdr:rowOff>
    </xdr:from>
    <xdr:to>
      <xdr:col>10</xdr:col>
      <xdr:colOff>266700</xdr:colOff>
      <xdr:row>9</xdr:row>
      <xdr:rowOff>165100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BDFCC01-8AD7-3B47-967E-9E7030F4A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18669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10</xdr:col>
      <xdr:colOff>266700</xdr:colOff>
      <xdr:row>10</xdr:row>
      <xdr:rowOff>165100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FFD3F6-B0EB-D2C5-6AF2-0C84A3E13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0828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266700</xdr:colOff>
      <xdr:row>11</xdr:row>
      <xdr:rowOff>165100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BCD05C0-42CF-A913-D5ED-A0A06B412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2987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12</xdr:row>
      <xdr:rowOff>0</xdr:rowOff>
    </xdr:from>
    <xdr:to>
      <xdr:col>10</xdr:col>
      <xdr:colOff>266700</xdr:colOff>
      <xdr:row>12</xdr:row>
      <xdr:rowOff>165100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A7D32E2-9C50-97CC-3716-526AB10BE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5146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13</xdr:row>
      <xdr:rowOff>0</xdr:rowOff>
    </xdr:from>
    <xdr:to>
      <xdr:col>10</xdr:col>
      <xdr:colOff>266700</xdr:colOff>
      <xdr:row>13</xdr:row>
      <xdr:rowOff>165100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A5CB4F2-8E05-1623-ABF1-D2DE394B0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7305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266700</xdr:colOff>
      <xdr:row>14</xdr:row>
      <xdr:rowOff>165100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745F6B4-21B4-818D-01B9-47F6E430A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0" y="29464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501650</xdr:colOff>
      <xdr:row>16</xdr:row>
      <xdr:rowOff>63500</xdr:rowOff>
    </xdr:from>
    <xdr:to>
      <xdr:col>10</xdr:col>
      <xdr:colOff>120650</xdr:colOff>
      <xdr:row>29</xdr:row>
      <xdr:rowOff>165100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0371662-6DBC-DD2F-FC33-B24C70B9A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12</xdr:col>
      <xdr:colOff>0</xdr:colOff>
      <xdr:row>7</xdr:row>
      <xdr:rowOff>0</xdr:rowOff>
    </xdr:from>
    <xdr:to>
      <xdr:col>12</xdr:col>
      <xdr:colOff>266700</xdr:colOff>
      <xdr:row>7</xdr:row>
      <xdr:rowOff>165100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6489E41-F3E4-CFD0-EA26-126F8BB5E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4351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8</xdr:row>
      <xdr:rowOff>0</xdr:rowOff>
    </xdr:from>
    <xdr:to>
      <xdr:col>12</xdr:col>
      <xdr:colOff>266700</xdr:colOff>
      <xdr:row>8</xdr:row>
      <xdr:rowOff>165100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066F337-8AF2-4DE6-857C-A67E4C9BD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6510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9</xdr:row>
      <xdr:rowOff>0</xdr:rowOff>
    </xdr:from>
    <xdr:to>
      <xdr:col>12</xdr:col>
      <xdr:colOff>266700</xdr:colOff>
      <xdr:row>9</xdr:row>
      <xdr:rowOff>165100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855B7FF-5428-F6D6-BF66-ABC42874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18669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10</xdr:row>
      <xdr:rowOff>0</xdr:rowOff>
    </xdr:from>
    <xdr:to>
      <xdr:col>12</xdr:col>
      <xdr:colOff>266700</xdr:colOff>
      <xdr:row>10</xdr:row>
      <xdr:rowOff>165100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4485A32-120A-B782-E2F3-76952586F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0828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11</xdr:row>
      <xdr:rowOff>0</xdr:rowOff>
    </xdr:from>
    <xdr:to>
      <xdr:col>12</xdr:col>
      <xdr:colOff>266700</xdr:colOff>
      <xdr:row>11</xdr:row>
      <xdr:rowOff>165100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8F8C7F2-DAF5-454B-3F05-2D0AEB55A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2987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12</xdr:row>
      <xdr:rowOff>0</xdr:rowOff>
    </xdr:from>
    <xdr:to>
      <xdr:col>12</xdr:col>
      <xdr:colOff>266700</xdr:colOff>
      <xdr:row>12</xdr:row>
      <xdr:rowOff>165100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107B178-EE28-1993-66A5-EA6870C32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5146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13</xdr:row>
      <xdr:rowOff>0</xdr:rowOff>
    </xdr:from>
    <xdr:to>
      <xdr:col>12</xdr:col>
      <xdr:colOff>266700</xdr:colOff>
      <xdr:row>13</xdr:row>
      <xdr:rowOff>165100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D8E48A9-53A0-118C-C73D-D9956E5F3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7305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0</xdr:colOff>
      <xdr:row>14</xdr:row>
      <xdr:rowOff>0</xdr:rowOff>
    </xdr:from>
    <xdr:to>
      <xdr:col>12</xdr:col>
      <xdr:colOff>266700</xdr:colOff>
      <xdr:row>14</xdr:row>
      <xdr:rowOff>165100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81C4DC7-80C3-71B8-B27C-1C8996E3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0" y="2946400"/>
          <a:ext cx="2667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628650</xdr:colOff>
      <xdr:row>35</xdr:row>
      <xdr:rowOff>76200</xdr:rowOff>
    </xdr:from>
    <xdr:to>
      <xdr:col>13</xdr:col>
      <xdr:colOff>247650</xdr:colOff>
      <xdr:row>48</xdr:row>
      <xdr:rowOff>177800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BD805EE3-8088-7B71-ECBA-62258C68A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0</xdr:colOff>
      <xdr:row>45</xdr:row>
      <xdr:rowOff>0</xdr:rowOff>
    </xdr:from>
    <xdr:to>
      <xdr:col>24</xdr:col>
      <xdr:colOff>342900</xdr:colOff>
      <xdr:row>45</xdr:row>
      <xdr:rowOff>165100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E81C7A8-6786-AAB3-2838-4C7105EAC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2710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45</xdr:row>
      <xdr:rowOff>0</xdr:rowOff>
    </xdr:from>
    <xdr:to>
      <xdr:col>25</xdr:col>
      <xdr:colOff>342900</xdr:colOff>
      <xdr:row>45</xdr:row>
      <xdr:rowOff>165100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F0763801-0E22-CFA1-1D1F-17A0FC820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2710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46</xdr:row>
      <xdr:rowOff>0</xdr:rowOff>
    </xdr:from>
    <xdr:to>
      <xdr:col>24</xdr:col>
      <xdr:colOff>342900</xdr:colOff>
      <xdr:row>46</xdr:row>
      <xdr:rowOff>165100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EB7EC32-6259-6D6E-A199-85EC1ECCC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4869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46</xdr:row>
      <xdr:rowOff>0</xdr:rowOff>
    </xdr:from>
    <xdr:to>
      <xdr:col>25</xdr:col>
      <xdr:colOff>342900</xdr:colOff>
      <xdr:row>46</xdr:row>
      <xdr:rowOff>165100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2C609CF-F4B2-8B91-887E-4EC050916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4869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47</xdr:row>
      <xdr:rowOff>0</xdr:rowOff>
    </xdr:from>
    <xdr:to>
      <xdr:col>24</xdr:col>
      <xdr:colOff>342900</xdr:colOff>
      <xdr:row>47</xdr:row>
      <xdr:rowOff>165100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13651A3-8BC4-D178-2487-AA3A20577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7028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47</xdr:row>
      <xdr:rowOff>0</xdr:rowOff>
    </xdr:from>
    <xdr:to>
      <xdr:col>25</xdr:col>
      <xdr:colOff>342900</xdr:colOff>
      <xdr:row>47</xdr:row>
      <xdr:rowOff>165100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EEF1772C-C0A2-338B-5971-726011FE87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7028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48</xdr:row>
      <xdr:rowOff>0</xdr:rowOff>
    </xdr:from>
    <xdr:to>
      <xdr:col>24</xdr:col>
      <xdr:colOff>342900</xdr:colOff>
      <xdr:row>48</xdr:row>
      <xdr:rowOff>165100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4751E77-D75D-F5BA-C1D1-D1B1845D1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99187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48</xdr:row>
      <xdr:rowOff>0</xdr:rowOff>
    </xdr:from>
    <xdr:to>
      <xdr:col>25</xdr:col>
      <xdr:colOff>342900</xdr:colOff>
      <xdr:row>48</xdr:row>
      <xdr:rowOff>165100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ADBAC83-7CDA-7753-03AF-22253F325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99187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49</xdr:row>
      <xdr:rowOff>0</xdr:rowOff>
    </xdr:from>
    <xdr:to>
      <xdr:col>24</xdr:col>
      <xdr:colOff>342900</xdr:colOff>
      <xdr:row>49</xdr:row>
      <xdr:rowOff>165100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4792B76B-BFA2-004B-242F-A9B90626D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1346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49</xdr:row>
      <xdr:rowOff>0</xdr:rowOff>
    </xdr:from>
    <xdr:to>
      <xdr:col>25</xdr:col>
      <xdr:colOff>342900</xdr:colOff>
      <xdr:row>49</xdr:row>
      <xdr:rowOff>165100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638BD8B4-A502-57F3-4717-692C9FB23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1346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50</xdr:row>
      <xdr:rowOff>0</xdr:rowOff>
    </xdr:from>
    <xdr:to>
      <xdr:col>24</xdr:col>
      <xdr:colOff>342900</xdr:colOff>
      <xdr:row>50</xdr:row>
      <xdr:rowOff>165100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EB5ECD73-00A2-0DE4-9935-CBFDD9D94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3505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50</xdr:row>
      <xdr:rowOff>0</xdr:rowOff>
    </xdr:from>
    <xdr:to>
      <xdr:col>25</xdr:col>
      <xdr:colOff>342900</xdr:colOff>
      <xdr:row>50</xdr:row>
      <xdr:rowOff>165100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C803E34F-D406-3E17-2BC4-60B7A0CC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3505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51</xdr:row>
      <xdr:rowOff>0</xdr:rowOff>
    </xdr:from>
    <xdr:to>
      <xdr:col>24</xdr:col>
      <xdr:colOff>342900</xdr:colOff>
      <xdr:row>51</xdr:row>
      <xdr:rowOff>165100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1832F72-D64B-ACC3-E964-CF7DEDF0E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5664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51</xdr:row>
      <xdr:rowOff>0</xdr:rowOff>
    </xdr:from>
    <xdr:to>
      <xdr:col>25</xdr:col>
      <xdr:colOff>342900</xdr:colOff>
      <xdr:row>51</xdr:row>
      <xdr:rowOff>165100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C7569F8-BC52-D8A2-A849-12E434EE8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5664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0</xdr:colOff>
      <xdr:row>52</xdr:row>
      <xdr:rowOff>0</xdr:rowOff>
    </xdr:from>
    <xdr:to>
      <xdr:col>24</xdr:col>
      <xdr:colOff>342900</xdr:colOff>
      <xdr:row>52</xdr:row>
      <xdr:rowOff>165100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38148B9-99CE-6ACB-F6BE-81608B74D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0" y="107823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25</xdr:col>
      <xdr:colOff>0</xdr:colOff>
      <xdr:row>52</xdr:row>
      <xdr:rowOff>0</xdr:rowOff>
    </xdr:from>
    <xdr:to>
      <xdr:col>25</xdr:col>
      <xdr:colOff>342900</xdr:colOff>
      <xdr:row>52</xdr:row>
      <xdr:rowOff>165100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171EED40-7930-E328-5769-5EE7C6532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37500" y="10782300"/>
          <a:ext cx="3429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0B9D3-6D50-FD4E-B3F7-34538363BA08}">
  <dimension ref="D7:AB62"/>
  <sheetViews>
    <sheetView tabSelected="1" topLeftCell="S34" workbookViewId="0">
      <selection activeCell="W49" sqref="W49"/>
    </sheetView>
  </sheetViews>
  <sheetFormatPr baseColWidth="10" defaultRowHeight="16" x14ac:dyDescent="0.2"/>
  <sheetData>
    <row r="7" spans="4:13" ht="17" thickBot="1" x14ac:dyDescent="0.25"/>
    <row r="8" spans="4:13" ht="17" thickBot="1" x14ac:dyDescent="0.25">
      <c r="D8" s="1"/>
      <c r="F8">
        <v>0.17799999999999999</v>
      </c>
      <c r="G8">
        <v>164.5</v>
      </c>
      <c r="K8" s="1"/>
      <c r="M8" s="1"/>
    </row>
    <row r="9" spans="4:13" ht="17" thickBot="1" x14ac:dyDescent="0.25">
      <c r="D9" s="2"/>
      <c r="F9">
        <v>3.1699999999999999E-2</v>
      </c>
      <c r="G9">
        <v>31.1</v>
      </c>
      <c r="K9" s="2"/>
      <c r="M9" s="2"/>
    </row>
    <row r="10" spans="4:13" ht="17" thickBot="1" x14ac:dyDescent="0.25">
      <c r="D10" s="2"/>
      <c r="F10">
        <v>1.5800000000000002E-2</v>
      </c>
      <c r="G10">
        <v>15.7</v>
      </c>
      <c r="K10" s="2"/>
      <c r="M10" s="2"/>
    </row>
    <row r="11" spans="4:13" ht="17" thickBot="1" x14ac:dyDescent="0.25">
      <c r="D11" s="2"/>
      <c r="F11">
        <v>4.6899999999999997E-2</v>
      </c>
      <c r="G11">
        <v>38.9</v>
      </c>
      <c r="K11" s="2"/>
      <c r="M11" s="2"/>
    </row>
    <row r="12" spans="4:13" ht="17" thickBot="1" x14ac:dyDescent="0.25">
      <c r="D12" s="2"/>
      <c r="F12">
        <v>2.3199999999999998E-2</v>
      </c>
      <c r="G12">
        <v>21.1</v>
      </c>
      <c r="K12" s="2"/>
      <c r="M12" s="2"/>
    </row>
    <row r="13" spans="4:13" ht="17" thickBot="1" x14ac:dyDescent="0.25">
      <c r="D13" s="2"/>
      <c r="F13">
        <v>0.10299999999999999</v>
      </c>
      <c r="G13">
        <v>80.599999999999994</v>
      </c>
      <c r="K13" s="2"/>
      <c r="M13" s="2"/>
    </row>
    <row r="14" spans="4:13" ht="17" thickBot="1" x14ac:dyDescent="0.25">
      <c r="D14" s="2"/>
      <c r="F14">
        <v>1.8100000000000002E-2</v>
      </c>
      <c r="G14">
        <v>17</v>
      </c>
      <c r="K14" s="2"/>
      <c r="M14" s="2"/>
    </row>
    <row r="15" spans="4:13" ht="17" thickBot="1" x14ac:dyDescent="0.25">
      <c r="D15" s="2"/>
      <c r="F15">
        <v>3.8899999999999997E-2</v>
      </c>
      <c r="G15">
        <v>33.299999999999997</v>
      </c>
      <c r="K15" s="2"/>
      <c r="M15" s="2"/>
    </row>
    <row r="39" spans="6:26" x14ac:dyDescent="0.2">
      <c r="F39">
        <v>0.17799999999999999</v>
      </c>
      <c r="G39">
        <v>164.5</v>
      </c>
    </row>
    <row r="40" spans="6:26" x14ac:dyDescent="0.2">
      <c r="F40">
        <v>3.1600000000000003E-2</v>
      </c>
      <c r="G40">
        <v>31.1</v>
      </c>
    </row>
    <row r="41" spans="6:26" x14ac:dyDescent="0.2">
      <c r="F41">
        <v>1.5699999999999999E-2</v>
      </c>
      <c r="G41">
        <v>15.7</v>
      </c>
    </row>
    <row r="42" spans="6:26" x14ac:dyDescent="0.2">
      <c r="F42">
        <v>4.6800000000000001E-2</v>
      </c>
      <c r="G42">
        <v>38.9</v>
      </c>
    </row>
    <row r="43" spans="6:26" x14ac:dyDescent="0.2">
      <c r="F43">
        <v>2.3300000000000001E-2</v>
      </c>
      <c r="G43">
        <v>21.1</v>
      </c>
    </row>
    <row r="44" spans="6:26" x14ac:dyDescent="0.2">
      <c r="F44">
        <v>0.10299999999999999</v>
      </c>
      <c r="G44">
        <v>80.599999999999994</v>
      </c>
    </row>
    <row r="45" spans="6:26" ht="17" thickBot="1" x14ac:dyDescent="0.25">
      <c r="F45">
        <v>1.8100000000000002E-2</v>
      </c>
      <c r="G45">
        <v>17</v>
      </c>
    </row>
    <row r="46" spans="6:26" ht="17" thickBot="1" x14ac:dyDescent="0.25">
      <c r="F46">
        <v>3.8800000000000001E-2</v>
      </c>
      <c r="G46">
        <v>33.299999999999997</v>
      </c>
      <c r="Y46" s="1"/>
      <c r="Z46" s="3"/>
    </row>
    <row r="47" spans="6:26" ht="17" thickBot="1" x14ac:dyDescent="0.25">
      <c r="Y47" s="2"/>
      <c r="Z47" s="4"/>
    </row>
    <row r="48" spans="6:26" ht="17" thickBot="1" x14ac:dyDescent="0.25">
      <c r="Y48" s="2"/>
      <c r="Z48" s="4"/>
    </row>
    <row r="49" spans="23:28" ht="17" thickBot="1" x14ac:dyDescent="0.25">
      <c r="Y49" s="2"/>
      <c r="Z49" s="4"/>
    </row>
    <row r="50" spans="23:28" ht="17" thickBot="1" x14ac:dyDescent="0.25">
      <c r="Y50" s="2"/>
      <c r="Z50" s="4"/>
    </row>
    <row r="51" spans="23:28" ht="17" thickBot="1" x14ac:dyDescent="0.25">
      <c r="Y51" s="2"/>
      <c r="Z51" s="4"/>
    </row>
    <row r="52" spans="23:28" ht="17" thickBot="1" x14ac:dyDescent="0.25">
      <c r="Y52" s="2"/>
      <c r="Z52" s="4"/>
    </row>
    <row r="53" spans="23:28" ht="17" thickBot="1" x14ac:dyDescent="0.25">
      <c r="W53" t="s">
        <v>4</v>
      </c>
      <c r="Y53" s="2"/>
      <c r="Z53" s="4"/>
      <c r="AB53" t="s">
        <v>4</v>
      </c>
    </row>
    <row r="54" spans="23:28" x14ac:dyDescent="0.2">
      <c r="W54" t="s">
        <v>3</v>
      </c>
      <c r="X54" t="s">
        <v>2</v>
      </c>
      <c r="Y54" t="s">
        <v>0</v>
      </c>
      <c r="Z54" t="s">
        <v>1</v>
      </c>
      <c r="AA54" t="s">
        <v>2</v>
      </c>
      <c r="AB54" t="s">
        <v>3</v>
      </c>
    </row>
    <row r="55" spans="23:28" x14ac:dyDescent="0.2">
      <c r="W55" s="5">
        <v>2.8900000000000002E-9</v>
      </c>
      <c r="X55">
        <f>0.01*Y55</f>
        <v>4.2160000000000003E-2</v>
      </c>
      <c r="Y55">
        <v>4.2160000000000002</v>
      </c>
      <c r="Z55">
        <v>4.22</v>
      </c>
      <c r="AA55">
        <f>Z55*0.02</f>
        <v>8.4400000000000003E-2</v>
      </c>
      <c r="AB55" s="5">
        <v>2.8900000000000002E-9</v>
      </c>
    </row>
    <row r="56" spans="23:28" x14ac:dyDescent="0.2">
      <c r="W56" s="5">
        <v>2.8900000000000002E-9</v>
      </c>
      <c r="X56">
        <f t="shared" ref="X56:X62" si="0">0.01*Y56</f>
        <v>1.78E-2</v>
      </c>
      <c r="Y56">
        <v>1.78</v>
      </c>
      <c r="Z56">
        <v>1.778</v>
      </c>
      <c r="AA56">
        <f t="shared" ref="AA56:AA62" si="1">Z56*0.02</f>
        <v>3.5560000000000001E-2</v>
      </c>
      <c r="AB56" s="5">
        <v>2.8900000000000002E-9</v>
      </c>
    </row>
    <row r="57" spans="23:28" x14ac:dyDescent="0.2">
      <c r="W57" s="5">
        <v>2.8900000000000002E-9</v>
      </c>
      <c r="X57">
        <f t="shared" si="0"/>
        <v>1.2580000000000001E-2</v>
      </c>
      <c r="Y57">
        <v>1.258</v>
      </c>
      <c r="Z57">
        <v>1.252</v>
      </c>
      <c r="AA57">
        <f t="shared" si="1"/>
        <v>2.504E-2</v>
      </c>
      <c r="AB57" s="5">
        <v>2.8900000000000002E-9</v>
      </c>
    </row>
    <row r="58" spans="23:28" x14ac:dyDescent="0.2">
      <c r="W58" s="5">
        <v>2.8900000000000002E-9</v>
      </c>
      <c r="X58">
        <f t="shared" si="0"/>
        <v>2.1649999999999999E-2</v>
      </c>
      <c r="Y58">
        <v>2.165</v>
      </c>
      <c r="Z58">
        <v>2.1640000000000001</v>
      </c>
      <c r="AA58">
        <f t="shared" si="1"/>
        <v>4.3280000000000006E-2</v>
      </c>
      <c r="AB58" s="5">
        <v>2.8900000000000002E-9</v>
      </c>
    </row>
    <row r="59" spans="23:28" x14ac:dyDescent="0.2">
      <c r="W59" s="5">
        <v>2.8900000000000002E-9</v>
      </c>
      <c r="X59">
        <f t="shared" si="0"/>
        <v>1.524E-2</v>
      </c>
      <c r="Y59">
        <v>1.524</v>
      </c>
      <c r="Z59">
        <v>1.526</v>
      </c>
      <c r="AA59">
        <f t="shared" si="1"/>
        <v>3.0520000000000002E-2</v>
      </c>
      <c r="AB59" s="5">
        <v>2.8900000000000002E-9</v>
      </c>
    </row>
    <row r="60" spans="23:28" x14ac:dyDescent="0.2">
      <c r="W60" s="5">
        <v>2.8900000000000002E-9</v>
      </c>
      <c r="X60">
        <f t="shared" si="0"/>
        <v>3.2039999999999999E-2</v>
      </c>
      <c r="Y60">
        <v>3.2040000000000002</v>
      </c>
      <c r="Z60">
        <v>3.2040000000000002</v>
      </c>
      <c r="AA60">
        <f t="shared" si="1"/>
        <v>6.4079999999999998E-2</v>
      </c>
      <c r="AB60" s="5">
        <v>2.8900000000000002E-9</v>
      </c>
    </row>
    <row r="61" spans="23:28" x14ac:dyDescent="0.2">
      <c r="W61" s="5">
        <v>2.8900000000000002E-9</v>
      </c>
      <c r="X61">
        <f t="shared" si="0"/>
        <v>1.3440000000000001E-2</v>
      </c>
      <c r="Y61">
        <v>1.3440000000000001</v>
      </c>
      <c r="Z61">
        <v>1.3460000000000001</v>
      </c>
      <c r="AA61">
        <f t="shared" si="1"/>
        <v>2.6920000000000003E-2</v>
      </c>
      <c r="AB61" s="5">
        <v>2.8900000000000002E-9</v>
      </c>
    </row>
    <row r="62" spans="23:28" x14ac:dyDescent="0.2">
      <c r="W62" s="5">
        <v>2.8900000000000002E-9</v>
      </c>
      <c r="X62">
        <f t="shared" si="0"/>
        <v>1.9730000000000001E-2</v>
      </c>
      <c r="Y62">
        <v>1.9730000000000001</v>
      </c>
      <c r="Z62">
        <v>1.97</v>
      </c>
      <c r="AA62">
        <f t="shared" si="1"/>
        <v>3.9399999999999998E-2</v>
      </c>
      <c r="AB62" s="5">
        <v>2.8900000000000002E-9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2022-09-26T09:04:05Z</dcterms:created>
  <dcterms:modified xsi:type="dcterms:W3CDTF">2022-09-26T10:55:56Z</dcterms:modified>
</cp:coreProperties>
</file>